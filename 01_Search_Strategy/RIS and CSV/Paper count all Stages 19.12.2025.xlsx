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o\Documents\Towards PHD Cyber Security and CNI\Proposals\Journal Submition paper\SLR 2026\References\"/>
    </mc:Choice>
  </mc:AlternateContent>
  <xr:revisionPtr revIDLastSave="0" documentId="13_ncr:1_{7E0D9A1F-7F68-4697-A328-7AFB05183D25}" xr6:coauthVersionLast="47" xr6:coauthVersionMax="47" xr10:uidLastSave="{00000000-0000-0000-0000-000000000000}"/>
  <bookViews>
    <workbookView xWindow="-28920" yWindow="-75" windowWidth="29040" windowHeight="15720" xr2:uid="{C5027576-2AE3-42F9-9AD9-DD288F20F753}"/>
  </bookViews>
  <sheets>
    <sheet name="All Papers 1946" sheetId="1" r:id="rId1"/>
    <sheet name="All Papers 1946 second Copy" sheetId="3" r:id="rId2"/>
    <sheet name="Final Li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D15" i="1"/>
  <c r="J15" i="1"/>
  <c r="H12" i="3"/>
  <c r="H13" i="3"/>
  <c r="H11" i="3"/>
  <c r="H10" i="3"/>
  <c r="C24" i="3"/>
  <c r="G21" i="3"/>
  <c r="G16" i="3"/>
  <c r="I15" i="3"/>
  <c r="J16" i="3" s="1"/>
  <c r="G15" i="3"/>
  <c r="F15" i="3"/>
  <c r="E15" i="3"/>
  <c r="F16" i="3" s="1"/>
  <c r="D15" i="3"/>
  <c r="E16" i="3" s="1"/>
  <c r="I15" i="1"/>
  <c r="H15" i="1"/>
  <c r="G21" i="1"/>
  <c r="F15" i="1"/>
  <c r="G15" i="1"/>
  <c r="G16" i="1" s="1"/>
  <c r="C24" i="1"/>
  <c r="E15" i="1"/>
  <c r="I16" i="3" l="1"/>
  <c r="H15" i="3"/>
  <c r="E16" i="1"/>
  <c r="F16" i="1"/>
</calcChain>
</file>

<file path=xl/sharedStrings.xml><?xml version="1.0" encoding="utf-8"?>
<sst xmlns="http://schemas.openxmlformats.org/spreadsheetml/2006/main" count="306" uniqueCount="116">
  <si>
    <t xml:space="preserve">Wos </t>
  </si>
  <si>
    <t xml:space="preserve">Scopus </t>
  </si>
  <si>
    <t xml:space="preserve">Excluded </t>
  </si>
  <si>
    <t xml:space="preserve">Stage 1 ( full search Count) </t>
  </si>
  <si>
    <t>Stage 4 ( full paper )</t>
  </si>
  <si>
    <t>Science Direct</t>
  </si>
  <si>
    <t>IEEE Explore</t>
  </si>
  <si>
    <t>ACM Digital Lib</t>
  </si>
  <si>
    <t>Journals Only</t>
  </si>
  <si>
    <t xml:space="preserve">Year 2021 2025  </t>
  </si>
  <si>
    <t xml:space="preserve">Duplicates </t>
  </si>
  <si>
    <t xml:space="preserve">Stage 3 ( title Only) </t>
  </si>
  <si>
    <t xml:space="preserve">Stage 4 ( title and Abstract) </t>
  </si>
  <si>
    <t>Stage 5 ( final synthesis) + Snow Balling</t>
  </si>
  <si>
    <t>Author (Year)</t>
  </si>
  <si>
    <t>QA1</t>
  </si>
  <si>
    <t>QA2</t>
  </si>
  <si>
    <t>QA3</t>
  </si>
  <si>
    <t>QA4</t>
  </si>
  <si>
    <t>QA5</t>
  </si>
  <si>
    <t>Total Score</t>
  </si>
  <si>
    <t>Decision</t>
  </si>
  <si>
    <t>Adun (2023)</t>
  </si>
  <si>
    <t>Include</t>
  </si>
  <si>
    <t>Alabdulkareem (2022)</t>
  </si>
  <si>
    <t>Ahmadi (2025)</t>
  </si>
  <si>
    <t>Alhammadi 2021</t>
  </si>
  <si>
    <t>Ali 2025</t>
  </si>
  <si>
    <t>ALmihqani et al (2021)</t>
  </si>
  <si>
    <t>almusawi (2024)</t>
  </si>
  <si>
    <t>AL-Mihqani (2022)</t>
  </si>
  <si>
    <t>Al-Shehari et al. (2024)</t>
  </si>
  <si>
    <t>Al-Shehari et al. (2023)</t>
  </si>
  <si>
    <t>AlQadheeb et al. (2022)</t>
  </si>
  <si>
    <r>
      <t>E</t>
    </r>
    <r>
      <rPr>
        <sz val="11.5"/>
        <color rgb="FF344054"/>
        <rFont val="Aptos"/>
        <family val="2"/>
      </rPr>
      <t>xclude</t>
    </r>
  </si>
  <si>
    <r>
      <t>Alshehri (2022)</t>
    </r>
    <r>
      <rPr>
        <b/>
        <sz val="11.5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 </t>
    </r>
    <r>
      <rPr>
        <b/>
        <sz val="11.5"/>
        <rFont val="Times New Roman"/>
        <family val="1"/>
      </rPr>
      <t>Relational DL</t>
    </r>
  </si>
  <si>
    <t>Amiri-Zarandi (2023)</t>
  </si>
  <si>
    <t>Al-Shehari (2021)</t>
  </si>
  <si>
    <t>Amuda (2022)</t>
  </si>
  <si>
    <t>Anju (2024)</t>
  </si>
  <si>
    <t>Anakath (2022)</t>
  </si>
  <si>
    <t>Asha S (2023)</t>
  </si>
  <si>
    <t>Cai X (2024)</t>
  </si>
  <si>
    <t>Dahiya and Kumar (2024)</t>
  </si>
  <si>
    <t>Exclude</t>
  </si>
  <si>
    <t>Dong et al. (2025)</t>
  </si>
  <si>
    <t>Eshmawi (2026)</t>
  </si>
  <si>
    <t>Feng (2025)</t>
  </si>
  <si>
    <t>Ferraro (2025)</t>
  </si>
  <si>
    <r>
      <t>Gayathri, R.G. (2025)</t>
    </r>
    <r>
      <rPr>
        <b/>
        <sz val="10.5"/>
        <rFont val="Times New Roman"/>
        <family val="1"/>
      </rPr>
      <t xml:space="preserve"> advers</t>
    </r>
  </si>
  <si>
    <r>
      <t>Gayathri, B. (2025)</t>
    </r>
    <r>
      <rPr>
        <b/>
        <sz val="10.5"/>
        <rFont val="Times New Roman"/>
        <family val="1"/>
      </rPr>
      <t xml:space="preserve"> Cloud</t>
    </r>
  </si>
  <si>
    <r>
      <t>Gayathri, R.G. (2024)</t>
    </r>
    <r>
      <rPr>
        <b/>
        <sz val="10.5"/>
        <rFont val="Times New Roman"/>
        <family val="1"/>
      </rPr>
      <t xml:space="preserve"> SPCGAN</t>
    </r>
  </si>
  <si>
    <t>Gonzales (2025)</t>
  </si>
  <si>
    <t>Gupta (2024)</t>
  </si>
  <si>
    <t>Hafizu Rhman (2022)</t>
  </si>
  <si>
    <t>Haq et al (2022)</t>
  </si>
  <si>
    <t>He Daojing et al (2022)</t>
  </si>
  <si>
    <t>He  Daojing et al  (2024)</t>
  </si>
  <si>
    <t>Huang (2025)</t>
  </si>
  <si>
    <t>Jaiswal (2024)</t>
  </si>
  <si>
    <t>Janjua (2021)</t>
  </si>
  <si>
    <t>Kamatchi et al. (2025)</t>
  </si>
  <si>
    <t>Kong et al. (2025)</t>
  </si>
  <si>
    <t>Kotb et al. (2025)</t>
  </si>
  <si>
    <t>Lavanya et al. (2024)</t>
  </si>
  <si>
    <t>Lavanya et al. (2025)</t>
  </si>
  <si>
    <t>Le &amp; Zincir-Heywood (2021)</t>
  </si>
  <si>
    <t>Li et al. (2023) Graph Convolutional Network</t>
  </si>
  <si>
    <r>
      <t>Li et al. (2024)</t>
    </r>
    <r>
      <rPr>
        <b/>
        <sz val="10.5"/>
        <rFont val="Times New Roman"/>
        <family val="1"/>
      </rPr>
      <t xml:space="preserve"> Graph Meta-Learning </t>
    </r>
  </si>
  <si>
    <r>
      <t>Li et al. (2024)</t>
    </r>
    <r>
      <rPr>
        <b/>
        <sz val="10.5"/>
        <color rgb="FF000000"/>
        <rFont val="Times New Roman"/>
        <family val="1"/>
      </rPr>
      <t xml:space="preserve"> Nuclear Security Reasoning</t>
    </r>
  </si>
  <si>
    <t>Liu et al. (2025)</t>
  </si>
  <si>
    <t>Medvedev et al. (2025)</t>
  </si>
  <si>
    <t>Mehmood et al. (2023)</t>
  </si>
  <si>
    <t>Mehnaz &amp; Bertino (2021)</t>
  </si>
  <si>
    <t>Mladenovic et al. (2024)</t>
  </si>
  <si>
    <t>Nasir et al. (2021)</t>
  </si>
  <si>
    <t>Nasser et al. (2025) Mobile Crowd Sourcing</t>
  </si>
  <si>
    <t>Nikiforova et al. (2024)</t>
  </si>
  <si>
    <t>Pal et al. (2023)</t>
  </si>
  <si>
    <t>Patel &amp; Iyer (2025)</t>
  </si>
  <si>
    <t>Peccatiello et al. (2023)</t>
  </si>
  <si>
    <t>Pennada et al. (2024)</t>
  </si>
  <si>
    <t>Pennada et al. (2025)</t>
  </si>
  <si>
    <t>Álvarez Muñiz et al. (2025)</t>
  </si>
  <si>
    <t>Qawasmeh &amp; AlQahtani (2025)</t>
  </si>
  <si>
    <t>Qiu et al. (2025)</t>
  </si>
  <si>
    <t>Randive et al. (2023)</t>
  </si>
  <si>
    <t xml:space="preserve">Rauf et al. (2021) </t>
  </si>
  <si>
    <t>Rizvi &amp; Williams (2024)</t>
  </si>
  <si>
    <t>Roy &amp; Chen (2024)</t>
  </si>
  <si>
    <t xml:space="preserve">Sarhan &amp; Altwaijry (2022) </t>
  </si>
  <si>
    <t>Senevirathna et al. (2025)</t>
  </si>
  <si>
    <t>Song et al. (2024)</t>
  </si>
  <si>
    <t>Tabassum et al. (2024)</t>
  </si>
  <si>
    <t>Thite &amp; Iyer (2025)</t>
  </si>
  <si>
    <t>Tian T et al. (2025)</t>
  </si>
  <si>
    <t>Tian Z et al. (2024)</t>
  </si>
  <si>
    <t>Villarreal-Vasquez et al. (2023)</t>
  </si>
  <si>
    <t>Wall &amp; Agrafiotis (2021)</t>
  </si>
  <si>
    <t>Wang &amp; El Saddik (2023)</t>
  </si>
  <si>
    <r>
      <t>Wang Zhi et al. (2024)</t>
    </r>
    <r>
      <rPr>
        <sz val="14"/>
        <color rgb="FF000000"/>
        <rFont val="Aptos"/>
        <family val="2"/>
      </rPr>
      <t xml:space="preserve"> </t>
    </r>
    <r>
      <rPr>
        <b/>
        <sz val="10.5"/>
        <rFont val="Times New Roman"/>
        <family val="1"/>
      </rPr>
      <t>FedITD</t>
    </r>
  </si>
  <si>
    <t>Wang Jiarong et al. (2023) Deep Cluster</t>
  </si>
  <si>
    <t>Wei Yichen et al. (2021)</t>
  </si>
  <si>
    <t>Wei Zhiyuan et al. (2024)</t>
  </si>
  <si>
    <t>Wen et al. (2023)</t>
  </si>
  <si>
    <t>Xiao Junchao  et al. (2023)</t>
  </si>
  <si>
    <t>Xiao  Fengrui  et al. (2025)</t>
  </si>
  <si>
    <t>Xiao Haitao  et al. (2024)</t>
  </si>
  <si>
    <r>
      <t xml:space="preserve">Ye </t>
    </r>
    <r>
      <rPr>
        <b/>
        <sz val="10"/>
        <color rgb="FF000000"/>
        <rFont val="Corbel"/>
        <family val="2"/>
      </rPr>
      <t xml:space="preserve">Xiaoyun </t>
    </r>
    <r>
      <rPr>
        <b/>
        <sz val="9"/>
        <color rgb="FF303030"/>
        <rFont val="Arial"/>
        <family val="2"/>
      </rPr>
      <t xml:space="preserve"> et al. (2025)</t>
    </r>
  </si>
  <si>
    <t>Yildirim &amp; Anarim (2022)</t>
  </si>
  <si>
    <t>Zhu et al. (2024)</t>
  </si>
  <si>
    <t>Source</t>
  </si>
  <si>
    <t>WoS</t>
  </si>
  <si>
    <t>Ahmad 2025</t>
  </si>
  <si>
    <t xml:space="preserve">Duplicates  Not Accecible / Wrong Topic </t>
  </si>
  <si>
    <t>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</si>
</sst>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  <font>
      <b/>
      <sz val="24"/>
      <color rgb="FF000000"/>
      <name val="Source Sans Pro"/>
      <family val="2"/>
    </font>
    <font>
      <b/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4"/>
      <color rgb="FF000000"/>
      <name val="Aptos"/>
      <family val="2"/>
    </font>
    <font>
      <b/>
      <sz val="8"/>
      <color rgb="FF1F1F1F"/>
      <name val="Arial"/>
      <family val="2"/>
    </font>
    <font>
      <sz val="10"/>
      <color rgb="FF1F1F1F"/>
      <name val="Arial"/>
      <family val="2"/>
    </font>
    <font>
      <b/>
      <sz val="10"/>
      <name val="Times New Roman"/>
      <family val="1"/>
    </font>
    <font>
      <b/>
      <sz val="10"/>
      <color rgb="FF1F1F1F"/>
      <name val="Arial"/>
      <family val="2"/>
    </font>
    <font>
      <sz val="10"/>
      <color rgb="FF344054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1.5"/>
      <color rgb="FF344054"/>
      <name val="Aptos"/>
      <family val="2"/>
    </font>
    <font>
      <b/>
      <sz val="11.5"/>
      <name val="Times New Roman"/>
      <family val="1"/>
    </font>
    <font>
      <b/>
      <sz val="10"/>
      <color rgb="FF344054"/>
      <name val="Arial"/>
      <family val="2"/>
    </font>
    <font>
      <sz val="11.5"/>
      <color rgb="FF344054"/>
      <name val="Arial"/>
      <family val="2"/>
    </font>
    <font>
      <b/>
      <sz val="11.5"/>
      <color rgb="FF000000"/>
      <name val="Times New Roman"/>
      <family val="1"/>
    </font>
    <font>
      <b/>
      <sz val="10.5"/>
      <name val="Times New Roman"/>
      <family val="1"/>
    </font>
    <font>
      <b/>
      <sz val="14"/>
      <name val="Times New Roman"/>
      <family val="1"/>
    </font>
    <font>
      <sz val="10"/>
      <color rgb="FF303030"/>
      <name val="Arial"/>
      <family val="2"/>
    </font>
    <font>
      <b/>
      <sz val="10"/>
      <color rgb="FF303030"/>
      <name val="Arial"/>
      <family val="2"/>
    </font>
    <font>
      <b/>
      <sz val="10.5"/>
      <color rgb="FF303030"/>
      <name val="Arial"/>
      <family val="2"/>
    </font>
    <font>
      <b/>
      <sz val="10.5"/>
      <color rgb="FF000000"/>
      <name val="Times New Roman"/>
      <family val="1"/>
    </font>
    <font>
      <b/>
      <sz val="12"/>
      <name val="Times New Roman"/>
      <family val="1"/>
    </font>
    <font>
      <sz val="10.5"/>
      <name val="Times New Roman"/>
      <family val="1"/>
    </font>
    <font>
      <b/>
      <sz val="9"/>
      <color rgb="FF303030"/>
      <name val="Arial"/>
      <family val="2"/>
    </font>
    <font>
      <sz val="10.5"/>
      <color rgb="FF303030"/>
      <name val="Arial"/>
      <family val="2"/>
    </font>
    <font>
      <b/>
      <sz val="10"/>
      <color rgb="FF000000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D1D1D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 wrapText="1"/>
    </xf>
    <xf numFmtId="0" fontId="20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5" fillId="3" borderId="3" xfId="0" applyFont="1" applyFill="1" applyBorder="1" applyAlignment="1">
      <alignment vertical="center" wrapText="1"/>
    </xf>
    <xf numFmtId="0" fontId="26" fillId="3" borderId="4" xfId="0" applyFont="1" applyFill="1" applyBorder="1" applyAlignment="1">
      <alignment vertical="center" wrapText="1"/>
    </xf>
    <xf numFmtId="0" fontId="24" fillId="3" borderId="4" xfId="0" applyFont="1" applyFill="1" applyBorder="1" applyAlignment="1">
      <alignment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vertical="center" wrapText="1"/>
    </xf>
    <xf numFmtId="0" fontId="26" fillId="4" borderId="4" xfId="0" applyFont="1" applyFill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5409-ACFE-4DCF-A0FA-74076F67850E}">
  <dimension ref="C8:K24"/>
  <sheetViews>
    <sheetView tabSelected="1" zoomScale="70" zoomScaleNormal="70" workbookViewId="0">
      <selection activeCell="J22" sqref="J22"/>
    </sheetView>
  </sheetViews>
  <sheetFormatPr defaultRowHeight="14" x14ac:dyDescent="0.3"/>
  <cols>
    <col min="3" max="3" width="20.33203125" customWidth="1"/>
    <col min="4" max="4" width="22.83203125" customWidth="1"/>
    <col min="5" max="5" width="19.83203125" customWidth="1"/>
    <col min="6" max="6" width="17.58203125" customWidth="1"/>
    <col min="7" max="7" width="27" customWidth="1"/>
    <col min="8" max="8" width="42.08203125" hidden="1" customWidth="1"/>
    <col min="9" max="9" width="27" customWidth="1"/>
    <col min="10" max="10" width="21.6640625" customWidth="1"/>
    <col min="11" max="11" width="34" customWidth="1"/>
  </cols>
  <sheetData>
    <row r="8" spans="3:11" ht="18" x14ac:dyDescent="0.4">
      <c r="E8" s="5" t="s">
        <v>9</v>
      </c>
      <c r="F8" s="5" t="s">
        <v>8</v>
      </c>
    </row>
    <row r="9" spans="3:11" ht="18" x14ac:dyDescent="0.4">
      <c r="C9" s="1"/>
      <c r="D9" s="52" t="s">
        <v>3</v>
      </c>
      <c r="E9" s="52"/>
      <c r="F9" s="52"/>
      <c r="G9" s="1" t="s">
        <v>11</v>
      </c>
      <c r="H9" s="5" t="s">
        <v>114</v>
      </c>
      <c r="I9" s="1" t="s">
        <v>12</v>
      </c>
      <c r="J9" s="1" t="s">
        <v>4</v>
      </c>
      <c r="K9" s="1" t="s">
        <v>13</v>
      </c>
    </row>
    <row r="10" spans="3:11" ht="24.5" customHeight="1" x14ac:dyDescent="0.7">
      <c r="C10" s="1" t="s">
        <v>0</v>
      </c>
      <c r="D10" s="3">
        <v>215</v>
      </c>
      <c r="E10" s="2">
        <v>149</v>
      </c>
      <c r="F10" s="2">
        <v>118</v>
      </c>
      <c r="G10" s="2">
        <v>58</v>
      </c>
      <c r="H10" s="2">
        <v>23</v>
      </c>
      <c r="I10" s="2">
        <v>40</v>
      </c>
      <c r="J10" s="2">
        <v>36</v>
      </c>
      <c r="K10" s="2">
        <v>36</v>
      </c>
    </row>
    <row r="11" spans="3:11" ht="31" x14ac:dyDescent="0.7">
      <c r="C11" s="1" t="s">
        <v>1</v>
      </c>
      <c r="D11" s="3">
        <v>340</v>
      </c>
      <c r="E11" s="2">
        <v>255</v>
      </c>
      <c r="F11" s="2">
        <v>108</v>
      </c>
      <c r="G11" s="2">
        <v>84</v>
      </c>
      <c r="H11" s="2">
        <v>25</v>
      </c>
      <c r="I11" s="2">
        <v>40</v>
      </c>
      <c r="J11" s="2">
        <v>34</v>
      </c>
      <c r="K11" s="2">
        <v>34</v>
      </c>
    </row>
    <row r="12" spans="3:11" ht="31" x14ac:dyDescent="0.7">
      <c r="C12" s="1" t="s">
        <v>5</v>
      </c>
      <c r="D12" s="3">
        <v>902</v>
      </c>
      <c r="E12" s="2">
        <v>659</v>
      </c>
      <c r="F12" s="2">
        <v>389</v>
      </c>
      <c r="G12" s="2">
        <v>27</v>
      </c>
      <c r="H12" s="2">
        <v>5</v>
      </c>
      <c r="I12" s="2">
        <v>8</v>
      </c>
      <c r="J12" s="2">
        <v>3</v>
      </c>
      <c r="K12" s="2">
        <v>3</v>
      </c>
    </row>
    <row r="13" spans="3:11" ht="31" x14ac:dyDescent="0.7">
      <c r="C13" s="1" t="s">
        <v>6</v>
      </c>
      <c r="D13" s="3">
        <v>439</v>
      </c>
      <c r="E13" s="2">
        <v>272</v>
      </c>
      <c r="F13" s="2">
        <v>44</v>
      </c>
      <c r="G13" s="2">
        <v>31</v>
      </c>
      <c r="H13" s="2">
        <v>17</v>
      </c>
      <c r="I13" s="2">
        <v>10</v>
      </c>
      <c r="J13" s="2">
        <v>9</v>
      </c>
      <c r="K13" s="2">
        <v>9</v>
      </c>
    </row>
    <row r="14" spans="3:11" ht="31" x14ac:dyDescent="0.7">
      <c r="C14" s="1" t="s">
        <v>7</v>
      </c>
      <c r="D14" s="3">
        <v>50</v>
      </c>
      <c r="E14" s="2">
        <v>43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3:11" ht="18" x14ac:dyDescent="0.4">
      <c r="C15" s="1"/>
      <c r="D15" s="4">
        <f>SUM(D10:D14)</f>
        <v>1946</v>
      </c>
      <c r="E15" s="4">
        <f t="shared" ref="E15:I15" si="0">SUM(E10:E14)</f>
        <v>1378</v>
      </c>
      <c r="F15" s="4">
        <f t="shared" si="0"/>
        <v>663</v>
      </c>
      <c r="G15" s="2">
        <f t="shared" si="0"/>
        <v>200</v>
      </c>
      <c r="H15" s="6">
        <f t="shared" si="0"/>
        <v>70</v>
      </c>
      <c r="I15" s="2">
        <f t="shared" si="0"/>
        <v>98</v>
      </c>
      <c r="J15" s="2">
        <f>SUM(J10:J14)</f>
        <v>82</v>
      </c>
      <c r="K15" s="2">
        <f>SUM(K10:K14)</f>
        <v>82</v>
      </c>
    </row>
    <row r="16" spans="3:11" ht="15.5" x14ac:dyDescent="0.35">
      <c r="C16" s="1" t="s">
        <v>2</v>
      </c>
      <c r="D16" s="1"/>
      <c r="E16" s="2">
        <f>D15-E15</f>
        <v>568</v>
      </c>
      <c r="F16" s="2">
        <f>E15-F15</f>
        <v>715</v>
      </c>
      <c r="G16" s="2">
        <f>G15-F15</f>
        <v>-463</v>
      </c>
      <c r="H16" s="49"/>
      <c r="I16" s="1"/>
      <c r="J16" s="1"/>
      <c r="K16" s="1"/>
    </row>
    <row r="17" spans="3:8" x14ac:dyDescent="0.3">
      <c r="H17" s="50"/>
    </row>
    <row r="20" spans="3:8" x14ac:dyDescent="0.3">
      <c r="G20">
        <v>124</v>
      </c>
      <c r="H20" t="s">
        <v>10</v>
      </c>
    </row>
    <row r="21" spans="3:8" x14ac:dyDescent="0.3">
      <c r="G21">
        <f>G20/2</f>
        <v>62</v>
      </c>
    </row>
    <row r="24" spans="3:8" x14ac:dyDescent="0.3">
      <c r="C24">
        <f>477+25+15</f>
        <v>517</v>
      </c>
    </row>
  </sheetData>
  <mergeCells count="1">
    <mergeCell ref="D9:F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F2BC-7F88-47B8-B219-A638131AA0EF}">
  <dimension ref="C8:K24"/>
  <sheetViews>
    <sheetView zoomScale="70" zoomScaleNormal="70" workbookViewId="0">
      <selection activeCell="I12" sqref="I12"/>
    </sheetView>
  </sheetViews>
  <sheetFormatPr defaultRowHeight="14" x14ac:dyDescent="0.3"/>
  <cols>
    <col min="3" max="3" width="20.33203125" customWidth="1"/>
    <col min="4" max="4" width="22.83203125" customWidth="1"/>
    <col min="5" max="5" width="19.83203125" customWidth="1"/>
    <col min="6" max="6" width="17.58203125" customWidth="1"/>
    <col min="7" max="7" width="27" customWidth="1"/>
    <col min="8" max="8" width="42.08203125" hidden="1" customWidth="1"/>
    <col min="9" max="9" width="27" customWidth="1"/>
    <col min="10" max="10" width="21.6640625" customWidth="1"/>
    <col min="11" max="11" width="34" customWidth="1"/>
  </cols>
  <sheetData>
    <row r="8" spans="3:11" ht="18" x14ac:dyDescent="0.4">
      <c r="E8" s="5" t="s">
        <v>9</v>
      </c>
      <c r="F8" s="5" t="s">
        <v>8</v>
      </c>
    </row>
    <row r="9" spans="3:11" ht="18" x14ac:dyDescent="0.4">
      <c r="C9" s="1"/>
      <c r="D9" s="52" t="s">
        <v>3</v>
      </c>
      <c r="E9" s="52"/>
      <c r="F9" s="52"/>
      <c r="G9" s="1" t="s">
        <v>11</v>
      </c>
      <c r="H9" s="5" t="s">
        <v>114</v>
      </c>
      <c r="I9" s="1" t="s">
        <v>12</v>
      </c>
      <c r="J9" s="1" t="s">
        <v>4</v>
      </c>
      <c r="K9" s="1" t="s">
        <v>13</v>
      </c>
    </row>
    <row r="10" spans="3:11" ht="24.5" customHeight="1" x14ac:dyDescent="0.7">
      <c r="C10" s="1" t="s">
        <v>0</v>
      </c>
      <c r="D10" s="3">
        <v>215</v>
      </c>
      <c r="E10" s="2">
        <v>149</v>
      </c>
      <c r="F10" s="2">
        <v>118</v>
      </c>
      <c r="G10" s="2">
        <v>58</v>
      </c>
      <c r="H10" s="2">
        <f>23+8</f>
        <v>31</v>
      </c>
      <c r="I10" s="2">
        <v>40</v>
      </c>
      <c r="J10" s="1"/>
      <c r="K10" s="1"/>
    </row>
    <row r="11" spans="3:11" ht="31" x14ac:dyDescent="0.7">
      <c r="C11" s="1" t="s">
        <v>1</v>
      </c>
      <c r="D11" s="3">
        <v>340</v>
      </c>
      <c r="E11" s="2">
        <v>255</v>
      </c>
      <c r="F11" s="2">
        <v>108</v>
      </c>
      <c r="G11" s="2">
        <v>84</v>
      </c>
      <c r="H11" s="2">
        <f>25+8</f>
        <v>33</v>
      </c>
      <c r="I11" s="2">
        <v>40</v>
      </c>
      <c r="J11" s="1"/>
      <c r="K11" s="1"/>
    </row>
    <row r="12" spans="3:11" ht="31" x14ac:dyDescent="0.7">
      <c r="C12" s="1" t="s">
        <v>5</v>
      </c>
      <c r="D12" s="3">
        <v>902</v>
      </c>
      <c r="E12" s="2">
        <v>659</v>
      </c>
      <c r="F12" s="2">
        <v>389</v>
      </c>
      <c r="G12" s="2">
        <v>27</v>
      </c>
      <c r="H12" s="2">
        <f>5+8</f>
        <v>13</v>
      </c>
      <c r="I12" s="51">
        <v>7</v>
      </c>
      <c r="J12" s="1"/>
      <c r="K12" s="1"/>
    </row>
    <row r="13" spans="3:11" ht="31" x14ac:dyDescent="0.7">
      <c r="C13" s="1" t="s">
        <v>6</v>
      </c>
      <c r="D13" s="3">
        <v>439</v>
      </c>
      <c r="E13" s="2">
        <v>272</v>
      </c>
      <c r="F13" s="2">
        <v>44</v>
      </c>
      <c r="G13" s="2">
        <v>31</v>
      </c>
      <c r="H13" s="2">
        <f>17+8</f>
        <v>25</v>
      </c>
      <c r="I13" s="2">
        <v>10</v>
      </c>
      <c r="J13" s="1"/>
      <c r="K13" s="1"/>
    </row>
    <row r="14" spans="3:11" ht="31" x14ac:dyDescent="0.7">
      <c r="C14" s="1" t="s">
        <v>7</v>
      </c>
      <c r="D14" s="3">
        <v>50</v>
      </c>
      <c r="E14" s="2">
        <v>43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1"/>
    </row>
    <row r="15" spans="3:11" ht="18" x14ac:dyDescent="0.4">
      <c r="C15" s="1"/>
      <c r="D15" s="4">
        <f t="shared" ref="D15:I15" si="0">SUM(D10:D14)</f>
        <v>1946</v>
      </c>
      <c r="E15" s="4">
        <f t="shared" si="0"/>
        <v>1378</v>
      </c>
      <c r="F15" s="4">
        <f t="shared" si="0"/>
        <v>663</v>
      </c>
      <c r="G15" s="4">
        <f t="shared" si="0"/>
        <v>200</v>
      </c>
      <c r="H15" s="4">
        <f t="shared" si="0"/>
        <v>102</v>
      </c>
      <c r="I15" s="4">
        <f t="shared" si="0"/>
        <v>97</v>
      </c>
      <c r="J15" s="4">
        <v>82</v>
      </c>
      <c r="K15" s="1"/>
    </row>
    <row r="16" spans="3:11" ht="15.5" x14ac:dyDescent="0.35">
      <c r="C16" s="1" t="s">
        <v>2</v>
      </c>
      <c r="D16" s="1"/>
      <c r="E16" s="2">
        <f>D15-E15</f>
        <v>568</v>
      </c>
      <c r="F16" s="2">
        <f>E15-F15</f>
        <v>715</v>
      </c>
      <c r="G16" s="2">
        <f>G15-F15</f>
        <v>-463</v>
      </c>
      <c r="H16" s="49"/>
      <c r="I16" s="2">
        <f>G15-I15</f>
        <v>103</v>
      </c>
      <c r="J16" s="2">
        <f>I15-J15</f>
        <v>15</v>
      </c>
      <c r="K16" s="1"/>
    </row>
    <row r="17" spans="3:8" x14ac:dyDescent="0.3">
      <c r="H17" s="50"/>
    </row>
    <row r="20" spans="3:8" x14ac:dyDescent="0.3">
      <c r="G20">
        <v>124</v>
      </c>
      <c r="H20" t="s">
        <v>10</v>
      </c>
    </row>
    <row r="21" spans="3:8" x14ac:dyDescent="0.3">
      <c r="G21">
        <f>G20/2</f>
        <v>62</v>
      </c>
    </row>
    <row r="24" spans="3:8" x14ac:dyDescent="0.3">
      <c r="C24">
        <f>477+25+15</f>
        <v>517</v>
      </c>
    </row>
  </sheetData>
  <mergeCells count="1">
    <mergeCell ref="D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79A8-CF66-4984-AE90-9CE3191BA6C8}">
  <dimension ref="A1:J91"/>
  <sheetViews>
    <sheetView topLeftCell="A53" workbookViewId="0">
      <selection activeCell="J90" sqref="J55:J90"/>
    </sheetView>
  </sheetViews>
  <sheetFormatPr defaultRowHeight="14" x14ac:dyDescent="0.3"/>
  <cols>
    <col min="10" max="10" width="15.58203125" customWidth="1"/>
  </cols>
  <sheetData>
    <row r="1" spans="1:10" ht="21.5" thickBot="1" x14ac:dyDescent="0.35">
      <c r="A1" s="7"/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48" t="s">
        <v>111</v>
      </c>
    </row>
    <row r="2" spans="1:10" ht="27.5" thickBot="1" x14ac:dyDescent="0.35">
      <c r="A2" s="17">
        <v>21</v>
      </c>
      <c r="B2" s="26" t="s">
        <v>42</v>
      </c>
      <c r="C2" s="27">
        <v>1</v>
      </c>
      <c r="D2" s="27">
        <v>1</v>
      </c>
      <c r="E2" s="27">
        <v>1</v>
      </c>
      <c r="F2" s="27">
        <v>1</v>
      </c>
      <c r="G2" s="27">
        <v>1</v>
      </c>
      <c r="H2" s="28">
        <v>5</v>
      </c>
      <c r="I2" s="29" t="s">
        <v>23</v>
      </c>
      <c r="J2" t="s">
        <v>6</v>
      </c>
    </row>
    <row r="3" spans="1:10" ht="30.5" thickBot="1" x14ac:dyDescent="0.35">
      <c r="A3" s="17">
        <v>22</v>
      </c>
      <c r="B3" s="36" t="s">
        <v>45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8">
        <v>5</v>
      </c>
      <c r="I3" s="29" t="s">
        <v>23</v>
      </c>
      <c r="J3" t="s">
        <v>6</v>
      </c>
    </row>
    <row r="4" spans="1:10" ht="27.5" thickBot="1" x14ac:dyDescent="0.35">
      <c r="A4" s="17">
        <v>29</v>
      </c>
      <c r="B4" s="29" t="s">
        <v>52</v>
      </c>
      <c r="C4" s="27">
        <v>1</v>
      </c>
      <c r="D4" s="27">
        <v>1</v>
      </c>
      <c r="E4" s="27">
        <v>0</v>
      </c>
      <c r="F4" s="27">
        <v>1</v>
      </c>
      <c r="G4" s="27">
        <v>1</v>
      </c>
      <c r="H4" s="28">
        <v>4</v>
      </c>
      <c r="I4" s="29" t="s">
        <v>23</v>
      </c>
      <c r="J4" t="s">
        <v>6</v>
      </c>
    </row>
    <row r="5" spans="1:10" ht="81.5" thickBot="1" x14ac:dyDescent="0.35">
      <c r="A5" s="17">
        <v>44</v>
      </c>
      <c r="B5" s="29" t="s">
        <v>67</v>
      </c>
      <c r="C5" s="15">
        <v>1</v>
      </c>
      <c r="D5" s="15">
        <v>1</v>
      </c>
      <c r="E5" s="15">
        <v>1</v>
      </c>
      <c r="F5" s="15">
        <v>1</v>
      </c>
      <c r="G5" s="15">
        <v>1</v>
      </c>
      <c r="H5" s="16">
        <v>5</v>
      </c>
      <c r="I5" s="29" t="s">
        <v>23</v>
      </c>
      <c r="J5" t="s">
        <v>6</v>
      </c>
    </row>
    <row r="6" spans="1:10" ht="78" thickBot="1" x14ac:dyDescent="0.35">
      <c r="A6" s="17">
        <v>45</v>
      </c>
      <c r="B6" s="37" t="s">
        <v>68</v>
      </c>
      <c r="C6" s="15">
        <v>1</v>
      </c>
      <c r="D6" s="15">
        <v>1</v>
      </c>
      <c r="E6" s="15">
        <v>1</v>
      </c>
      <c r="F6" s="15">
        <v>1</v>
      </c>
      <c r="G6" s="15">
        <v>1</v>
      </c>
      <c r="H6" s="16">
        <v>5</v>
      </c>
      <c r="I6" s="29" t="s">
        <v>23</v>
      </c>
      <c r="J6" t="s">
        <v>6</v>
      </c>
    </row>
    <row r="7" spans="1:10" ht="41" thickBot="1" x14ac:dyDescent="0.35">
      <c r="A7" s="17">
        <v>49</v>
      </c>
      <c r="B7" s="26" t="s">
        <v>73</v>
      </c>
      <c r="C7" s="15">
        <v>1</v>
      </c>
      <c r="D7" s="15">
        <v>1</v>
      </c>
      <c r="E7" s="15">
        <v>1</v>
      </c>
      <c r="F7" s="15">
        <v>0.5</v>
      </c>
      <c r="G7" s="15">
        <v>0</v>
      </c>
      <c r="H7" s="16">
        <v>3.5</v>
      </c>
      <c r="I7" s="29" t="s">
        <v>23</v>
      </c>
      <c r="J7" t="s">
        <v>6</v>
      </c>
    </row>
    <row r="8" spans="1:10" ht="41" thickBot="1" x14ac:dyDescent="0.35">
      <c r="A8" s="17">
        <v>52</v>
      </c>
      <c r="B8" s="29" t="s">
        <v>77</v>
      </c>
      <c r="C8" s="15">
        <v>1</v>
      </c>
      <c r="D8" s="15">
        <v>0.5</v>
      </c>
      <c r="E8" s="15">
        <v>1</v>
      </c>
      <c r="F8" s="15">
        <v>0</v>
      </c>
      <c r="G8" s="15">
        <v>1</v>
      </c>
      <c r="H8" s="16">
        <v>3.5</v>
      </c>
      <c r="I8" s="29" t="s">
        <v>23</v>
      </c>
      <c r="J8" t="s">
        <v>6</v>
      </c>
    </row>
    <row r="9" spans="1:10" ht="41" thickBot="1" x14ac:dyDescent="0.35">
      <c r="A9" s="17">
        <v>62</v>
      </c>
      <c r="B9" s="26" t="s">
        <v>89</v>
      </c>
      <c r="C9" s="15">
        <v>1</v>
      </c>
      <c r="D9" s="15">
        <v>1</v>
      </c>
      <c r="E9" s="15">
        <v>0.5</v>
      </c>
      <c r="F9" s="15">
        <v>1</v>
      </c>
      <c r="G9" s="15">
        <v>1</v>
      </c>
      <c r="H9" s="16">
        <v>4.5</v>
      </c>
      <c r="I9" s="29" t="s">
        <v>23</v>
      </c>
      <c r="J9" t="s">
        <v>6</v>
      </c>
    </row>
    <row r="10" spans="1:10" ht="54.5" thickBot="1" x14ac:dyDescent="0.35">
      <c r="A10" s="17">
        <v>69</v>
      </c>
      <c r="B10" s="26" t="s">
        <v>97</v>
      </c>
      <c r="C10" s="15">
        <v>1</v>
      </c>
      <c r="D10" s="15">
        <v>1</v>
      </c>
      <c r="E10" s="15">
        <v>1</v>
      </c>
      <c r="F10" s="15">
        <v>1</v>
      </c>
      <c r="G10" s="15">
        <v>1</v>
      </c>
      <c r="H10" s="16">
        <v>5</v>
      </c>
      <c r="I10" s="29" t="s">
        <v>23</v>
      </c>
      <c r="J10" t="s">
        <v>6</v>
      </c>
    </row>
    <row r="11" spans="1:10" ht="44" thickBot="1" x14ac:dyDescent="0.35">
      <c r="A11" s="9"/>
      <c r="B11" s="22" t="s">
        <v>33</v>
      </c>
      <c r="C11" s="23">
        <v>5</v>
      </c>
      <c r="D11" s="23">
        <v>0</v>
      </c>
      <c r="E11" s="23">
        <v>1</v>
      </c>
      <c r="F11" s="23">
        <v>0</v>
      </c>
      <c r="G11" s="23">
        <v>0.5</v>
      </c>
      <c r="H11" s="24">
        <v>2</v>
      </c>
      <c r="I11" s="25" t="s">
        <v>34</v>
      </c>
      <c r="J11" t="s">
        <v>5</v>
      </c>
    </row>
    <row r="12" spans="1:10" ht="27.5" thickBot="1" x14ac:dyDescent="0.35">
      <c r="A12" s="17">
        <v>30</v>
      </c>
      <c r="B12" s="29" t="s">
        <v>53</v>
      </c>
      <c r="C12" s="27">
        <v>1</v>
      </c>
      <c r="D12" s="27">
        <v>1</v>
      </c>
      <c r="E12" s="27">
        <v>1</v>
      </c>
      <c r="F12" s="27">
        <v>1</v>
      </c>
      <c r="G12" s="27">
        <v>1</v>
      </c>
      <c r="H12" s="28">
        <v>5</v>
      </c>
      <c r="I12" s="29" t="s">
        <v>23</v>
      </c>
      <c r="J12" t="s">
        <v>5</v>
      </c>
    </row>
    <row r="13" spans="1:10" ht="78" thickBot="1" x14ac:dyDescent="0.35">
      <c r="A13" s="38"/>
      <c r="B13" s="39" t="s">
        <v>69</v>
      </c>
      <c r="C13" s="40">
        <v>0</v>
      </c>
      <c r="D13" s="40">
        <v>0.5</v>
      </c>
      <c r="E13" s="40">
        <v>0</v>
      </c>
      <c r="F13" s="40">
        <v>1</v>
      </c>
      <c r="G13" s="40">
        <v>1</v>
      </c>
      <c r="H13" s="41">
        <v>2.5</v>
      </c>
      <c r="I13" s="42" t="s">
        <v>44</v>
      </c>
      <c r="J13" t="s">
        <v>5</v>
      </c>
    </row>
    <row r="14" spans="1:10" ht="68" thickBot="1" x14ac:dyDescent="0.35">
      <c r="A14" s="38"/>
      <c r="B14" s="43" t="s">
        <v>76</v>
      </c>
      <c r="C14" s="40">
        <v>0.5</v>
      </c>
      <c r="D14" s="40">
        <v>0</v>
      </c>
      <c r="E14" s="40">
        <v>0</v>
      </c>
      <c r="F14" s="40">
        <v>0</v>
      </c>
      <c r="G14" s="40">
        <v>1</v>
      </c>
      <c r="H14" s="41">
        <v>1.5</v>
      </c>
      <c r="I14" s="42" t="s">
        <v>44</v>
      </c>
      <c r="J14" t="s">
        <v>5</v>
      </c>
    </row>
    <row r="15" spans="1:10" ht="27.5" thickBot="1" x14ac:dyDescent="0.35">
      <c r="A15" s="38"/>
      <c r="B15" s="42" t="s">
        <v>85</v>
      </c>
      <c r="C15" s="40">
        <v>0</v>
      </c>
      <c r="D15" s="40">
        <v>0.5</v>
      </c>
      <c r="E15" s="40">
        <v>0.5</v>
      </c>
      <c r="F15" s="40">
        <v>0</v>
      </c>
      <c r="G15" s="40">
        <v>0.5</v>
      </c>
      <c r="H15" s="41">
        <v>1.5</v>
      </c>
      <c r="I15" s="42" t="s">
        <v>44</v>
      </c>
      <c r="J15" t="s">
        <v>5</v>
      </c>
    </row>
    <row r="16" spans="1:10" ht="27.5" thickBot="1" x14ac:dyDescent="0.35">
      <c r="A16" s="17">
        <v>61</v>
      </c>
      <c r="B16" s="29" t="s">
        <v>87</v>
      </c>
      <c r="C16" s="15">
        <v>1</v>
      </c>
      <c r="D16" s="15">
        <v>1</v>
      </c>
      <c r="E16" s="15">
        <v>0.5</v>
      </c>
      <c r="F16" s="15">
        <v>1</v>
      </c>
      <c r="G16" s="15">
        <v>1</v>
      </c>
      <c r="H16" s="16">
        <v>4.5</v>
      </c>
      <c r="I16" s="29" t="s">
        <v>23</v>
      </c>
      <c r="J16" t="s">
        <v>5</v>
      </c>
    </row>
    <row r="17" spans="1:10" ht="41" thickBot="1" x14ac:dyDescent="0.35">
      <c r="A17" s="38"/>
      <c r="B17" s="43" t="s">
        <v>88</v>
      </c>
      <c r="C17" s="40">
        <v>1</v>
      </c>
      <c r="D17" s="40">
        <v>0</v>
      </c>
      <c r="E17" s="40">
        <v>0</v>
      </c>
      <c r="F17" s="40">
        <v>0</v>
      </c>
      <c r="G17" s="40">
        <v>1</v>
      </c>
      <c r="H17" s="41">
        <v>2</v>
      </c>
      <c r="I17" s="42" t="s">
        <v>44</v>
      </c>
      <c r="J17" t="s">
        <v>5</v>
      </c>
    </row>
    <row r="18" spans="1:10" ht="23.5" thickBot="1" x14ac:dyDescent="0.35">
      <c r="A18" s="17">
        <v>76</v>
      </c>
      <c r="B18" s="46" t="s">
        <v>104</v>
      </c>
      <c r="C18" s="37">
        <v>1</v>
      </c>
      <c r="D18" s="37">
        <v>0.5</v>
      </c>
      <c r="E18" s="37">
        <v>1</v>
      </c>
      <c r="F18" s="37">
        <v>1</v>
      </c>
      <c r="G18" s="37">
        <v>1</v>
      </c>
      <c r="H18" s="16">
        <v>4.5</v>
      </c>
      <c r="I18" s="29" t="s">
        <v>23</v>
      </c>
      <c r="J18" t="s">
        <v>5</v>
      </c>
    </row>
    <row r="19" spans="1:10" ht="26.5" thickBot="1" x14ac:dyDescent="0.35">
      <c r="A19" s="9">
        <v>1</v>
      </c>
      <c r="B19" s="10" t="s">
        <v>22</v>
      </c>
      <c r="C19" s="11">
        <v>1</v>
      </c>
      <c r="D19" s="11">
        <v>1</v>
      </c>
      <c r="E19" s="11">
        <v>0.5</v>
      </c>
      <c r="F19" s="11">
        <v>0.5</v>
      </c>
      <c r="G19" s="11">
        <v>0.5</v>
      </c>
      <c r="H19" s="12">
        <v>3.5</v>
      </c>
      <c r="I19" s="11" t="s">
        <v>23</v>
      </c>
      <c r="J19" t="s">
        <v>1</v>
      </c>
    </row>
    <row r="20" spans="1:10" ht="26.5" thickBot="1" x14ac:dyDescent="0.35">
      <c r="A20" s="9">
        <v>2</v>
      </c>
      <c r="B20" s="10" t="s">
        <v>24</v>
      </c>
      <c r="C20" s="11">
        <v>1</v>
      </c>
      <c r="D20" s="11">
        <v>1</v>
      </c>
      <c r="E20" s="11">
        <v>1</v>
      </c>
      <c r="F20" s="11">
        <v>1</v>
      </c>
      <c r="G20" s="11">
        <v>0.5</v>
      </c>
      <c r="H20" s="12">
        <v>4.5</v>
      </c>
      <c r="I20" s="11" t="s">
        <v>23</v>
      </c>
      <c r="J20" t="s">
        <v>1</v>
      </c>
    </row>
    <row r="21" spans="1:10" ht="26.5" thickBot="1" x14ac:dyDescent="0.35">
      <c r="A21" s="9">
        <v>3</v>
      </c>
      <c r="B21" s="10" t="s">
        <v>25</v>
      </c>
      <c r="C21" s="11">
        <v>1</v>
      </c>
      <c r="D21" s="11">
        <v>0.5</v>
      </c>
      <c r="E21" s="11">
        <v>0.5</v>
      </c>
      <c r="F21" s="11">
        <v>1</v>
      </c>
      <c r="G21" s="11">
        <v>1</v>
      </c>
      <c r="H21" s="12">
        <v>4</v>
      </c>
      <c r="I21" s="11" t="s">
        <v>23</v>
      </c>
      <c r="J21" t="s">
        <v>1</v>
      </c>
    </row>
    <row r="22" spans="1:10" ht="14.5" thickBot="1" x14ac:dyDescent="0.35">
      <c r="A22" s="9">
        <v>5</v>
      </c>
      <c r="B22" s="10" t="s">
        <v>27</v>
      </c>
      <c r="C22" s="15">
        <v>1</v>
      </c>
      <c r="D22" s="15">
        <v>5</v>
      </c>
      <c r="E22" s="15">
        <v>1</v>
      </c>
      <c r="F22" s="15">
        <v>1</v>
      </c>
      <c r="G22" s="15">
        <v>1</v>
      </c>
      <c r="H22" s="16">
        <v>4.5</v>
      </c>
      <c r="I22" s="15" t="s">
        <v>23</v>
      </c>
      <c r="J22" t="s">
        <v>1</v>
      </c>
    </row>
    <row r="23" spans="1:10" ht="26.5" thickBot="1" x14ac:dyDescent="0.35">
      <c r="A23" s="9">
        <v>6</v>
      </c>
      <c r="B23" s="10" t="s">
        <v>113</v>
      </c>
      <c r="C23" s="15">
        <v>0.5</v>
      </c>
      <c r="D23" s="15">
        <v>1</v>
      </c>
      <c r="E23" s="15">
        <v>1</v>
      </c>
      <c r="F23" s="15">
        <v>1</v>
      </c>
      <c r="G23" s="15">
        <v>0.5</v>
      </c>
      <c r="H23" s="16">
        <v>4</v>
      </c>
      <c r="I23" s="15" t="s">
        <v>23</v>
      </c>
      <c r="J23" t="s">
        <v>1</v>
      </c>
    </row>
    <row r="24" spans="1:10" ht="26.5" thickBot="1" x14ac:dyDescent="0.35">
      <c r="A24" s="9">
        <v>8</v>
      </c>
      <c r="B24" s="10" t="s">
        <v>29</v>
      </c>
      <c r="C24" s="15">
        <v>1</v>
      </c>
      <c r="D24" s="15">
        <v>1</v>
      </c>
      <c r="E24" s="15">
        <v>1</v>
      </c>
      <c r="F24" s="15">
        <v>1</v>
      </c>
      <c r="G24" s="15">
        <v>0.5</v>
      </c>
      <c r="H24" s="16">
        <v>4.5</v>
      </c>
      <c r="I24" s="15" t="s">
        <v>23</v>
      </c>
      <c r="J24" t="s">
        <v>1</v>
      </c>
    </row>
    <row r="25" spans="1:10" ht="39.5" thickBot="1" x14ac:dyDescent="0.35">
      <c r="A25" s="9">
        <v>9</v>
      </c>
      <c r="B25" s="10" t="s">
        <v>30</v>
      </c>
      <c r="C25" s="15">
        <v>1</v>
      </c>
      <c r="D25" s="15">
        <v>1</v>
      </c>
      <c r="E25" s="15">
        <v>0.5</v>
      </c>
      <c r="F25" s="15">
        <v>1</v>
      </c>
      <c r="G25" s="15">
        <v>1</v>
      </c>
      <c r="H25" s="16">
        <v>4.5</v>
      </c>
      <c r="I25" s="15" t="s">
        <v>23</v>
      </c>
      <c r="J25" t="s">
        <v>1</v>
      </c>
    </row>
    <row r="26" spans="1:10" ht="58.5" thickBot="1" x14ac:dyDescent="0.35">
      <c r="A26" s="17">
        <v>10</v>
      </c>
      <c r="B26" s="18" t="s">
        <v>31</v>
      </c>
      <c r="C26" s="19">
        <v>1</v>
      </c>
      <c r="D26" s="19">
        <v>1</v>
      </c>
      <c r="E26" s="19">
        <v>1</v>
      </c>
      <c r="F26" s="19">
        <v>0</v>
      </c>
      <c r="G26" s="19">
        <v>1</v>
      </c>
      <c r="H26" s="20">
        <v>4</v>
      </c>
      <c r="I26" s="21" t="s">
        <v>23</v>
      </c>
      <c r="J26" t="s">
        <v>1</v>
      </c>
    </row>
    <row r="27" spans="1:10" ht="41" thickBot="1" x14ac:dyDescent="0.35">
      <c r="A27" s="17">
        <v>16</v>
      </c>
      <c r="B27" s="26" t="s">
        <v>37</v>
      </c>
      <c r="C27" s="27">
        <v>1</v>
      </c>
      <c r="D27" s="27">
        <v>1</v>
      </c>
      <c r="E27" s="27">
        <v>1</v>
      </c>
      <c r="F27" s="27">
        <v>1</v>
      </c>
      <c r="G27" s="27">
        <v>1</v>
      </c>
      <c r="H27" s="28">
        <v>5</v>
      </c>
      <c r="I27" s="29" t="s">
        <v>23</v>
      </c>
      <c r="J27" t="s">
        <v>1</v>
      </c>
    </row>
    <row r="28" spans="1:10" ht="27.5" thickBot="1" x14ac:dyDescent="0.35">
      <c r="A28" s="17">
        <v>17</v>
      </c>
      <c r="B28" s="26" t="s">
        <v>38</v>
      </c>
      <c r="C28" s="27">
        <v>1</v>
      </c>
      <c r="D28" s="27">
        <v>1</v>
      </c>
      <c r="E28" s="27">
        <v>1</v>
      </c>
      <c r="F28" s="27">
        <v>1</v>
      </c>
      <c r="G28" s="27">
        <v>0.5</v>
      </c>
      <c r="H28" s="28">
        <v>4.5</v>
      </c>
      <c r="I28" s="29" t="s">
        <v>23</v>
      </c>
      <c r="J28" t="s">
        <v>1</v>
      </c>
    </row>
    <row r="29" spans="1:10" ht="54.5" thickBot="1" x14ac:dyDescent="0.35">
      <c r="A29" s="31"/>
      <c r="B29" s="32" t="s">
        <v>43</v>
      </c>
      <c r="C29" s="33">
        <v>0</v>
      </c>
      <c r="D29" s="33">
        <v>0</v>
      </c>
      <c r="E29" s="33">
        <v>0</v>
      </c>
      <c r="F29" s="33">
        <v>0.5</v>
      </c>
      <c r="G29" s="33">
        <v>1</v>
      </c>
      <c r="H29" s="34">
        <v>1.5</v>
      </c>
      <c r="I29" s="35" t="s">
        <v>44</v>
      </c>
      <c r="J29" t="s">
        <v>1</v>
      </c>
    </row>
    <row r="30" spans="1:10" ht="27.5" thickBot="1" x14ac:dyDescent="0.35">
      <c r="A30" s="17">
        <v>24</v>
      </c>
      <c r="B30" s="26" t="s">
        <v>47</v>
      </c>
      <c r="C30" s="27">
        <v>1</v>
      </c>
      <c r="D30" s="27">
        <v>1</v>
      </c>
      <c r="E30" s="27">
        <v>1</v>
      </c>
      <c r="F30" s="27">
        <v>1</v>
      </c>
      <c r="G30" s="27">
        <v>1</v>
      </c>
      <c r="H30" s="28">
        <v>5</v>
      </c>
      <c r="I30" s="29" t="s">
        <v>23</v>
      </c>
      <c r="J30" t="s">
        <v>1</v>
      </c>
    </row>
    <row r="31" spans="1:10" ht="54.5" thickBot="1" x14ac:dyDescent="0.35">
      <c r="A31" s="17">
        <v>26</v>
      </c>
      <c r="B31" s="29" t="s">
        <v>49</v>
      </c>
      <c r="C31" s="27">
        <v>1</v>
      </c>
      <c r="D31" s="27">
        <v>1</v>
      </c>
      <c r="E31" s="27">
        <v>1</v>
      </c>
      <c r="F31" s="27">
        <v>1</v>
      </c>
      <c r="G31" s="27">
        <v>1</v>
      </c>
      <c r="H31" s="28">
        <v>5</v>
      </c>
      <c r="I31" s="29" t="s">
        <v>23</v>
      </c>
      <c r="J31" t="s">
        <v>1</v>
      </c>
    </row>
    <row r="32" spans="1:10" ht="54.5" thickBot="1" x14ac:dyDescent="0.35">
      <c r="A32" s="17">
        <v>27</v>
      </c>
      <c r="B32" s="29" t="s">
        <v>50</v>
      </c>
      <c r="C32" s="27">
        <v>1</v>
      </c>
      <c r="D32" s="27">
        <v>1</v>
      </c>
      <c r="E32" s="27">
        <v>0</v>
      </c>
      <c r="F32" s="27">
        <v>1</v>
      </c>
      <c r="G32" s="27">
        <v>1</v>
      </c>
      <c r="H32" s="28">
        <v>4</v>
      </c>
      <c r="I32" s="29" t="s">
        <v>23</v>
      </c>
      <c r="J32" t="s">
        <v>1</v>
      </c>
    </row>
    <row r="33" spans="1:10" ht="41" thickBot="1" x14ac:dyDescent="0.35">
      <c r="A33" s="17">
        <v>31</v>
      </c>
      <c r="B33" s="29" t="s">
        <v>54</v>
      </c>
      <c r="C33" s="27">
        <v>1</v>
      </c>
      <c r="D33" s="27">
        <v>1</v>
      </c>
      <c r="E33" s="27">
        <v>1</v>
      </c>
      <c r="F33" s="27">
        <v>1</v>
      </c>
      <c r="G33" s="27">
        <v>1</v>
      </c>
      <c r="H33" s="28">
        <v>5</v>
      </c>
      <c r="I33" s="29" t="s">
        <v>23</v>
      </c>
      <c r="J33" t="s">
        <v>1</v>
      </c>
    </row>
    <row r="34" spans="1:10" ht="27.5" thickBot="1" x14ac:dyDescent="0.35">
      <c r="A34" s="17">
        <v>32</v>
      </c>
      <c r="B34" s="29" t="s">
        <v>55</v>
      </c>
      <c r="C34" s="27">
        <v>1</v>
      </c>
      <c r="D34" s="27">
        <v>1</v>
      </c>
      <c r="E34" s="27">
        <v>1</v>
      </c>
      <c r="F34" s="27">
        <v>0.5</v>
      </c>
      <c r="G34" s="27">
        <v>1</v>
      </c>
      <c r="H34" s="28">
        <v>4.5</v>
      </c>
      <c r="I34" s="29" t="s">
        <v>23</v>
      </c>
      <c r="J34" t="s">
        <v>1</v>
      </c>
    </row>
    <row r="35" spans="1:10" ht="54.5" thickBot="1" x14ac:dyDescent="0.35">
      <c r="A35" s="17">
        <v>33</v>
      </c>
      <c r="B35" s="29" t="s">
        <v>56</v>
      </c>
      <c r="C35" s="27">
        <v>1</v>
      </c>
      <c r="D35" s="27">
        <v>1</v>
      </c>
      <c r="E35" s="27">
        <v>1</v>
      </c>
      <c r="F35" s="27">
        <v>1</v>
      </c>
      <c r="G35" s="27">
        <v>1</v>
      </c>
      <c r="H35" s="28">
        <v>5</v>
      </c>
      <c r="I35" s="29" t="s">
        <v>23</v>
      </c>
      <c r="J35" t="s">
        <v>1</v>
      </c>
    </row>
    <row r="36" spans="1:10" ht="27.5" thickBot="1" x14ac:dyDescent="0.35">
      <c r="A36" s="17">
        <v>35</v>
      </c>
      <c r="B36" s="29" t="s">
        <v>58</v>
      </c>
      <c r="C36" s="27">
        <v>1</v>
      </c>
      <c r="D36" s="27">
        <v>1</v>
      </c>
      <c r="E36" s="27">
        <v>0.5</v>
      </c>
      <c r="F36" s="27">
        <v>0.5</v>
      </c>
      <c r="G36" s="27">
        <v>0.5</v>
      </c>
      <c r="H36" s="28">
        <v>3.5</v>
      </c>
      <c r="I36" s="29" t="s">
        <v>23</v>
      </c>
      <c r="J36" t="s">
        <v>1</v>
      </c>
    </row>
    <row r="37" spans="1:10" ht="27.5" thickBot="1" x14ac:dyDescent="0.35">
      <c r="A37" s="17">
        <v>36</v>
      </c>
      <c r="B37" s="29" t="s">
        <v>59</v>
      </c>
      <c r="C37" s="27">
        <v>1</v>
      </c>
      <c r="D37" s="27">
        <v>1</v>
      </c>
      <c r="E37" s="27">
        <v>1</v>
      </c>
      <c r="F37" s="27">
        <v>1</v>
      </c>
      <c r="G37" s="27">
        <v>0.5</v>
      </c>
      <c r="H37" s="28">
        <v>4.5</v>
      </c>
      <c r="I37" s="29" t="s">
        <v>23</v>
      </c>
      <c r="J37" t="s">
        <v>1</v>
      </c>
    </row>
    <row r="38" spans="1:10" ht="41" thickBot="1" x14ac:dyDescent="0.35">
      <c r="A38" s="17">
        <v>38</v>
      </c>
      <c r="B38" s="29" t="s">
        <v>61</v>
      </c>
      <c r="C38" s="27">
        <v>1</v>
      </c>
      <c r="D38" s="27">
        <v>0.5</v>
      </c>
      <c r="E38" s="27">
        <v>1</v>
      </c>
      <c r="F38" s="27">
        <v>0.5</v>
      </c>
      <c r="G38" s="27">
        <v>0.5</v>
      </c>
      <c r="H38" s="28">
        <v>3.5</v>
      </c>
      <c r="I38" s="29" t="s">
        <v>23</v>
      </c>
      <c r="J38" t="s">
        <v>1</v>
      </c>
    </row>
    <row r="39" spans="1:10" ht="54.5" thickBot="1" x14ac:dyDescent="0.35">
      <c r="A39" s="17">
        <v>43</v>
      </c>
      <c r="B39" s="29" t="s">
        <v>66</v>
      </c>
      <c r="C39" s="15">
        <v>1</v>
      </c>
      <c r="D39" s="15">
        <v>1</v>
      </c>
      <c r="E39" s="15">
        <v>1</v>
      </c>
      <c r="F39" s="15">
        <v>1</v>
      </c>
      <c r="G39" s="15">
        <v>0.5</v>
      </c>
      <c r="H39" s="16">
        <v>4.5</v>
      </c>
      <c r="I39" s="29" t="s">
        <v>23</v>
      </c>
      <c r="J39" t="s">
        <v>1</v>
      </c>
    </row>
    <row r="40" spans="1:10" ht="27.5" thickBot="1" x14ac:dyDescent="0.35">
      <c r="A40" s="17">
        <v>46</v>
      </c>
      <c r="B40" s="26" t="s">
        <v>70</v>
      </c>
      <c r="C40" s="15">
        <v>1</v>
      </c>
      <c r="D40" s="15">
        <v>1</v>
      </c>
      <c r="E40" s="15">
        <v>1</v>
      </c>
      <c r="F40" s="15">
        <v>1</v>
      </c>
      <c r="G40" s="15">
        <v>0.5</v>
      </c>
      <c r="H40" s="16">
        <v>4.5</v>
      </c>
      <c r="I40" s="29" t="s">
        <v>23</v>
      </c>
      <c r="J40" t="s">
        <v>1</v>
      </c>
    </row>
    <row r="41" spans="1:10" ht="41" thickBot="1" x14ac:dyDescent="0.35">
      <c r="A41" s="17">
        <v>47</v>
      </c>
      <c r="B41" s="26" t="s">
        <v>71</v>
      </c>
      <c r="C41" s="15">
        <v>1</v>
      </c>
      <c r="D41" s="15">
        <v>1</v>
      </c>
      <c r="E41" s="15">
        <v>1</v>
      </c>
      <c r="F41" s="15">
        <v>0.5</v>
      </c>
      <c r="G41" s="15">
        <v>0.5</v>
      </c>
      <c r="H41" s="16">
        <v>4</v>
      </c>
      <c r="I41" s="29" t="s">
        <v>23</v>
      </c>
      <c r="J41" t="s">
        <v>1</v>
      </c>
    </row>
    <row r="42" spans="1:10" ht="41" thickBot="1" x14ac:dyDescent="0.35">
      <c r="A42" s="17">
        <v>48</v>
      </c>
      <c r="B42" s="26" t="s">
        <v>72</v>
      </c>
      <c r="C42" s="15">
        <v>1</v>
      </c>
      <c r="D42" s="15">
        <v>1</v>
      </c>
      <c r="E42" s="15">
        <v>1</v>
      </c>
      <c r="F42" s="15">
        <v>0.5</v>
      </c>
      <c r="G42" s="15">
        <v>0</v>
      </c>
      <c r="H42" s="16">
        <v>3.5</v>
      </c>
      <c r="I42" s="29" t="s">
        <v>23</v>
      </c>
      <c r="J42" t="s">
        <v>1</v>
      </c>
    </row>
    <row r="43" spans="1:10" ht="41" thickBot="1" x14ac:dyDescent="0.35">
      <c r="A43" s="17">
        <v>56</v>
      </c>
      <c r="B43" s="29" t="s">
        <v>81</v>
      </c>
      <c r="C43" s="15">
        <v>1</v>
      </c>
      <c r="D43" s="15">
        <v>0.5</v>
      </c>
      <c r="E43" s="15">
        <v>1</v>
      </c>
      <c r="F43" s="15">
        <v>0.5</v>
      </c>
      <c r="G43" s="15">
        <v>0.5</v>
      </c>
      <c r="H43" s="16">
        <v>3.5</v>
      </c>
      <c r="I43" s="29" t="s">
        <v>23</v>
      </c>
      <c r="J43" t="s">
        <v>1</v>
      </c>
    </row>
    <row r="44" spans="1:10" ht="41" thickBot="1" x14ac:dyDescent="0.35">
      <c r="A44" s="17">
        <v>57</v>
      </c>
      <c r="B44" s="29" t="s">
        <v>82</v>
      </c>
      <c r="C44" s="15">
        <v>1</v>
      </c>
      <c r="D44" s="15">
        <v>1</v>
      </c>
      <c r="E44" s="15">
        <v>1</v>
      </c>
      <c r="F44" s="15">
        <v>1</v>
      </c>
      <c r="G44" s="15">
        <v>1</v>
      </c>
      <c r="H44" s="16">
        <v>5</v>
      </c>
      <c r="I44" s="29" t="s">
        <v>23</v>
      </c>
      <c r="J44" t="s">
        <v>1</v>
      </c>
    </row>
    <row r="45" spans="1:10" ht="41" thickBot="1" x14ac:dyDescent="0.35">
      <c r="A45" s="17">
        <v>58</v>
      </c>
      <c r="B45" s="29" t="s">
        <v>83</v>
      </c>
      <c r="C45" s="15">
        <v>1</v>
      </c>
      <c r="D45" s="15">
        <v>1</v>
      </c>
      <c r="E45" s="15">
        <v>1</v>
      </c>
      <c r="F45" s="15">
        <v>1</v>
      </c>
      <c r="G45" s="15">
        <v>1</v>
      </c>
      <c r="H45" s="16">
        <v>5</v>
      </c>
      <c r="I45" s="29" t="s">
        <v>23</v>
      </c>
      <c r="J45" t="s">
        <v>1</v>
      </c>
    </row>
    <row r="46" spans="1:10" ht="54.5" thickBot="1" x14ac:dyDescent="0.35">
      <c r="A46" s="17">
        <v>59</v>
      </c>
      <c r="B46" s="29" t="s">
        <v>84</v>
      </c>
      <c r="C46" s="15">
        <v>1</v>
      </c>
      <c r="D46" s="15">
        <v>1</v>
      </c>
      <c r="E46" s="15">
        <v>1</v>
      </c>
      <c r="F46" s="15">
        <v>1</v>
      </c>
      <c r="G46" s="15">
        <v>1</v>
      </c>
      <c r="H46" s="16">
        <v>5</v>
      </c>
      <c r="I46" s="29" t="s">
        <v>23</v>
      </c>
      <c r="J46" t="s">
        <v>1</v>
      </c>
    </row>
    <row r="47" spans="1:10" ht="41" thickBot="1" x14ac:dyDescent="0.35">
      <c r="A47" s="17">
        <v>64</v>
      </c>
      <c r="B47" s="26" t="s">
        <v>91</v>
      </c>
      <c r="C47" s="15">
        <v>1</v>
      </c>
      <c r="D47" s="15">
        <v>1</v>
      </c>
      <c r="E47" s="15">
        <v>0.5</v>
      </c>
      <c r="F47" s="15">
        <v>1</v>
      </c>
      <c r="G47" s="15">
        <v>0</v>
      </c>
      <c r="H47" s="16">
        <v>3.5</v>
      </c>
      <c r="I47" s="29" t="s">
        <v>23</v>
      </c>
      <c r="J47" t="s">
        <v>1</v>
      </c>
    </row>
    <row r="48" spans="1:10" ht="41" thickBot="1" x14ac:dyDescent="0.35">
      <c r="A48" s="17">
        <v>66</v>
      </c>
      <c r="B48" s="26" t="s">
        <v>93</v>
      </c>
      <c r="C48" s="15">
        <v>1</v>
      </c>
      <c r="D48" s="15">
        <v>0.5</v>
      </c>
      <c r="E48" s="15">
        <v>1</v>
      </c>
      <c r="F48" s="15">
        <v>1</v>
      </c>
      <c r="G48" s="15">
        <v>0</v>
      </c>
      <c r="H48" s="16">
        <v>3.5</v>
      </c>
      <c r="I48" s="29" t="s">
        <v>23</v>
      </c>
      <c r="J48" t="s">
        <v>1</v>
      </c>
    </row>
    <row r="49" spans="1:10" ht="41" thickBot="1" x14ac:dyDescent="0.35">
      <c r="A49" s="38"/>
      <c r="B49" s="43" t="s">
        <v>94</v>
      </c>
      <c r="C49" s="43">
        <v>1</v>
      </c>
      <c r="D49" s="43">
        <v>0</v>
      </c>
      <c r="E49" s="43">
        <v>0</v>
      </c>
      <c r="F49" s="43">
        <v>0</v>
      </c>
      <c r="G49" s="43">
        <v>1</v>
      </c>
      <c r="H49" s="45">
        <v>2</v>
      </c>
      <c r="I49" s="42" t="s">
        <v>44</v>
      </c>
      <c r="J49" t="s">
        <v>1</v>
      </c>
    </row>
    <row r="50" spans="1:10" ht="27.5" thickBot="1" x14ac:dyDescent="0.35">
      <c r="A50" s="17">
        <v>68</v>
      </c>
      <c r="B50" s="26" t="s">
        <v>96</v>
      </c>
      <c r="C50" s="15">
        <v>1</v>
      </c>
      <c r="D50" s="15">
        <v>1</v>
      </c>
      <c r="E50" s="15">
        <v>1</v>
      </c>
      <c r="F50" s="15">
        <v>1</v>
      </c>
      <c r="G50" s="15">
        <v>1</v>
      </c>
      <c r="H50" s="16">
        <v>5</v>
      </c>
      <c r="I50" s="29" t="s">
        <v>23</v>
      </c>
      <c r="J50" t="s">
        <v>1</v>
      </c>
    </row>
    <row r="51" spans="1:10" ht="41" thickBot="1" x14ac:dyDescent="0.35">
      <c r="A51" s="17">
        <v>70</v>
      </c>
      <c r="B51" s="26" t="s">
        <v>98</v>
      </c>
      <c r="C51" s="15">
        <v>1</v>
      </c>
      <c r="D51" s="15">
        <v>1</v>
      </c>
      <c r="E51" s="15">
        <v>1</v>
      </c>
      <c r="F51" s="15">
        <v>1</v>
      </c>
      <c r="G51" s="15">
        <v>1</v>
      </c>
      <c r="H51" s="16">
        <v>5</v>
      </c>
      <c r="I51" s="29" t="s">
        <v>23</v>
      </c>
      <c r="J51" t="s">
        <v>1</v>
      </c>
    </row>
    <row r="52" spans="1:10" ht="54.5" thickBot="1" x14ac:dyDescent="0.35">
      <c r="A52" s="17">
        <v>74</v>
      </c>
      <c r="B52" s="29" t="s">
        <v>102</v>
      </c>
      <c r="C52" s="15">
        <v>1</v>
      </c>
      <c r="D52" s="15">
        <v>1</v>
      </c>
      <c r="E52" s="15">
        <v>1</v>
      </c>
      <c r="F52" s="15">
        <v>1</v>
      </c>
      <c r="G52" s="15">
        <v>1</v>
      </c>
      <c r="H52" s="16">
        <v>5</v>
      </c>
      <c r="I52" s="29" t="s">
        <v>23</v>
      </c>
      <c r="J52" t="s">
        <v>1</v>
      </c>
    </row>
    <row r="53" spans="1:10" ht="46.5" thickBot="1" x14ac:dyDescent="0.35">
      <c r="A53" s="17">
        <v>77</v>
      </c>
      <c r="B53" s="46" t="s">
        <v>105</v>
      </c>
      <c r="C53" s="37">
        <v>1</v>
      </c>
      <c r="D53" s="37">
        <v>1</v>
      </c>
      <c r="E53" s="37">
        <v>1</v>
      </c>
      <c r="F53" s="37">
        <v>1</v>
      </c>
      <c r="G53" s="37">
        <v>1</v>
      </c>
      <c r="H53" s="16">
        <v>5</v>
      </c>
      <c r="I53" s="29" t="s">
        <v>23</v>
      </c>
      <c r="J53" t="s">
        <v>1</v>
      </c>
    </row>
    <row r="54" spans="1:10" ht="35" thickBot="1" x14ac:dyDescent="0.35">
      <c r="A54" s="17">
        <v>81</v>
      </c>
      <c r="B54" s="46" t="s">
        <v>109</v>
      </c>
      <c r="C54" s="37">
        <v>1</v>
      </c>
      <c r="D54" s="37">
        <v>1</v>
      </c>
      <c r="E54" s="37">
        <v>1</v>
      </c>
      <c r="F54" s="37">
        <v>1</v>
      </c>
      <c r="G54" s="37">
        <v>1</v>
      </c>
      <c r="H54" s="16">
        <v>5</v>
      </c>
      <c r="I54" s="29" t="s">
        <v>23</v>
      </c>
      <c r="J54" t="s">
        <v>1</v>
      </c>
    </row>
    <row r="55" spans="1:10" ht="26.5" thickBot="1" x14ac:dyDescent="0.35">
      <c r="A55" s="13">
        <v>4</v>
      </c>
      <c r="B55" s="14" t="s">
        <v>26</v>
      </c>
      <c r="C55" s="15">
        <v>1</v>
      </c>
      <c r="D55" s="15">
        <v>1</v>
      </c>
      <c r="E55" s="15">
        <v>0.5</v>
      </c>
      <c r="F55" s="15">
        <v>1</v>
      </c>
      <c r="G55" s="15">
        <v>1</v>
      </c>
      <c r="H55" s="16">
        <v>4.5</v>
      </c>
      <c r="I55" s="15" t="s">
        <v>23</v>
      </c>
      <c r="J55" t="s">
        <v>112</v>
      </c>
    </row>
    <row r="56" spans="1:10" ht="39.5" thickBot="1" x14ac:dyDescent="0.35">
      <c r="A56" s="9">
        <v>7</v>
      </c>
      <c r="B56" s="10" t="s">
        <v>28</v>
      </c>
      <c r="C56" s="15">
        <v>1</v>
      </c>
      <c r="D56" s="15">
        <v>1</v>
      </c>
      <c r="E56" s="15">
        <v>0.5</v>
      </c>
      <c r="F56" s="15">
        <v>1</v>
      </c>
      <c r="G56" s="15">
        <v>0</v>
      </c>
      <c r="H56" s="16">
        <v>3.5</v>
      </c>
      <c r="I56" s="15" t="s">
        <v>23</v>
      </c>
      <c r="J56" t="s">
        <v>112</v>
      </c>
    </row>
    <row r="57" spans="1:10" ht="58.5" thickBot="1" x14ac:dyDescent="0.35">
      <c r="A57" s="17">
        <v>11</v>
      </c>
      <c r="B57" s="18" t="s">
        <v>32</v>
      </c>
      <c r="C57" s="19">
        <v>1</v>
      </c>
      <c r="D57" s="19">
        <v>1</v>
      </c>
      <c r="E57" s="19">
        <v>1</v>
      </c>
      <c r="F57" s="19">
        <v>1</v>
      </c>
      <c r="G57" s="19">
        <v>1</v>
      </c>
      <c r="H57" s="20">
        <v>5</v>
      </c>
      <c r="I57" s="21" t="s">
        <v>23</v>
      </c>
      <c r="J57" t="s">
        <v>112</v>
      </c>
    </row>
    <row r="58" spans="1:10" ht="58.5" thickBot="1" x14ac:dyDescent="0.35">
      <c r="A58" s="17">
        <v>12</v>
      </c>
      <c r="B58" s="18" t="s">
        <v>31</v>
      </c>
      <c r="C58" s="19">
        <v>1</v>
      </c>
      <c r="D58" s="19">
        <v>1</v>
      </c>
      <c r="E58" s="19">
        <v>1</v>
      </c>
      <c r="F58" s="19">
        <v>1</v>
      </c>
      <c r="G58" s="19">
        <v>1</v>
      </c>
      <c r="H58" s="20">
        <v>5</v>
      </c>
      <c r="I58" s="21" t="s">
        <v>23</v>
      </c>
      <c r="J58" t="s">
        <v>112</v>
      </c>
    </row>
    <row r="59" spans="1:10" ht="58.5" thickBot="1" x14ac:dyDescent="0.35">
      <c r="A59" s="17">
        <v>13</v>
      </c>
      <c r="B59" s="18" t="s">
        <v>32</v>
      </c>
      <c r="C59" s="19">
        <v>1</v>
      </c>
      <c r="D59" s="19">
        <v>1</v>
      </c>
      <c r="E59" s="19">
        <v>1</v>
      </c>
      <c r="F59" s="19">
        <v>1</v>
      </c>
      <c r="G59" s="19">
        <v>0.5</v>
      </c>
      <c r="H59" s="20">
        <v>4.5</v>
      </c>
      <c r="I59" s="21" t="s">
        <v>23</v>
      </c>
      <c r="J59" t="s">
        <v>112</v>
      </c>
    </row>
    <row r="60" spans="1:10" ht="60.5" thickBot="1" x14ac:dyDescent="0.35">
      <c r="A60" s="17">
        <v>14</v>
      </c>
      <c r="B60" s="26" t="s">
        <v>35</v>
      </c>
      <c r="C60" s="27">
        <v>1</v>
      </c>
      <c r="D60" s="27">
        <v>1</v>
      </c>
      <c r="E60" s="27">
        <v>1</v>
      </c>
      <c r="F60" s="27">
        <v>1</v>
      </c>
      <c r="G60" s="27">
        <v>1</v>
      </c>
      <c r="H60" s="28">
        <v>5</v>
      </c>
      <c r="I60" s="29" t="s">
        <v>23</v>
      </c>
      <c r="J60" t="s">
        <v>112</v>
      </c>
    </row>
    <row r="61" spans="1:10" ht="53" thickBot="1" x14ac:dyDescent="0.35">
      <c r="A61" s="17">
        <v>15</v>
      </c>
      <c r="B61" s="30" t="s">
        <v>36</v>
      </c>
      <c r="C61" s="27">
        <v>1</v>
      </c>
      <c r="D61" s="27">
        <v>1</v>
      </c>
      <c r="E61" s="27">
        <v>1</v>
      </c>
      <c r="F61" s="27">
        <v>1</v>
      </c>
      <c r="G61" s="27">
        <v>1</v>
      </c>
      <c r="H61" s="28">
        <v>5</v>
      </c>
      <c r="I61" s="29" t="s">
        <v>23</v>
      </c>
      <c r="J61" t="s">
        <v>112</v>
      </c>
    </row>
    <row r="62" spans="1:10" ht="27.5" thickBot="1" x14ac:dyDescent="0.35">
      <c r="A62" s="17">
        <v>18</v>
      </c>
      <c r="B62" s="26" t="s">
        <v>39</v>
      </c>
      <c r="C62" s="27">
        <v>1</v>
      </c>
      <c r="D62" s="27">
        <v>1</v>
      </c>
      <c r="E62" s="27">
        <v>1</v>
      </c>
      <c r="F62" s="27">
        <v>1</v>
      </c>
      <c r="G62" s="27">
        <v>1</v>
      </c>
      <c r="H62" s="28">
        <v>5</v>
      </c>
      <c r="I62" s="29" t="s">
        <v>23</v>
      </c>
      <c r="J62" t="s">
        <v>112</v>
      </c>
    </row>
    <row r="63" spans="1:10" ht="27.5" thickBot="1" x14ac:dyDescent="0.35">
      <c r="A63" s="17">
        <v>19</v>
      </c>
      <c r="B63" s="26" t="s">
        <v>40</v>
      </c>
      <c r="C63" s="27">
        <v>1</v>
      </c>
      <c r="D63" s="27">
        <v>1</v>
      </c>
      <c r="E63" s="27">
        <v>1</v>
      </c>
      <c r="F63" s="27">
        <v>1</v>
      </c>
      <c r="G63" s="27">
        <v>1</v>
      </c>
      <c r="H63" s="28">
        <v>5</v>
      </c>
      <c r="I63" s="29" t="s">
        <v>23</v>
      </c>
      <c r="J63" t="s">
        <v>112</v>
      </c>
    </row>
    <row r="64" spans="1:10" ht="27.5" thickBot="1" x14ac:dyDescent="0.35">
      <c r="A64" s="17">
        <v>20</v>
      </c>
      <c r="B64" s="26" t="s">
        <v>41</v>
      </c>
      <c r="C64" s="27">
        <v>1</v>
      </c>
      <c r="D64" s="27">
        <v>1</v>
      </c>
      <c r="E64" s="27">
        <v>1</v>
      </c>
      <c r="F64" s="27">
        <v>1</v>
      </c>
      <c r="G64" s="27">
        <v>1</v>
      </c>
      <c r="H64" s="28">
        <v>5</v>
      </c>
      <c r="I64" s="29" t="s">
        <v>23</v>
      </c>
      <c r="J64" t="s">
        <v>112</v>
      </c>
    </row>
    <row r="65" spans="1:10" ht="27.5" thickBot="1" x14ac:dyDescent="0.35">
      <c r="A65" s="17">
        <v>25</v>
      </c>
      <c r="B65" s="26" t="s">
        <v>48</v>
      </c>
      <c r="C65" s="27">
        <v>1</v>
      </c>
      <c r="D65" s="27">
        <v>1</v>
      </c>
      <c r="E65" s="27">
        <v>1</v>
      </c>
      <c r="F65" s="27">
        <v>1</v>
      </c>
      <c r="G65" s="27">
        <v>1</v>
      </c>
      <c r="H65" s="28">
        <v>5</v>
      </c>
      <c r="I65" s="29" t="s">
        <v>23</v>
      </c>
      <c r="J65" t="s">
        <v>112</v>
      </c>
    </row>
    <row r="66" spans="1:10" ht="54.5" thickBot="1" x14ac:dyDescent="0.35">
      <c r="A66" s="17">
        <v>28</v>
      </c>
      <c r="B66" s="29" t="s">
        <v>51</v>
      </c>
      <c r="C66" s="27">
        <v>1</v>
      </c>
      <c r="D66" s="27">
        <v>1</v>
      </c>
      <c r="E66" s="27">
        <v>1</v>
      </c>
      <c r="F66" s="27">
        <v>1</v>
      </c>
      <c r="G66" s="27">
        <v>1</v>
      </c>
      <c r="H66" s="28">
        <v>5</v>
      </c>
      <c r="I66" s="29" t="s">
        <v>23</v>
      </c>
      <c r="J66" t="s">
        <v>112</v>
      </c>
    </row>
    <row r="67" spans="1:10" ht="54.5" thickBot="1" x14ac:dyDescent="0.35">
      <c r="A67" s="17">
        <v>34</v>
      </c>
      <c r="B67" s="29" t="s">
        <v>57</v>
      </c>
      <c r="C67" s="27">
        <v>1</v>
      </c>
      <c r="D67" s="27">
        <v>1</v>
      </c>
      <c r="E67" s="27">
        <v>1</v>
      </c>
      <c r="F67" s="27">
        <v>1</v>
      </c>
      <c r="G67" s="27">
        <v>1</v>
      </c>
      <c r="H67" s="28">
        <v>5</v>
      </c>
      <c r="I67" s="29" t="s">
        <v>23</v>
      </c>
      <c r="J67" t="s">
        <v>112</v>
      </c>
    </row>
    <row r="68" spans="1:10" ht="27.5" thickBot="1" x14ac:dyDescent="0.35">
      <c r="A68" s="17">
        <v>37</v>
      </c>
      <c r="B68" s="29" t="s">
        <v>60</v>
      </c>
      <c r="C68" s="27">
        <v>1</v>
      </c>
      <c r="D68" s="27">
        <v>1</v>
      </c>
      <c r="E68" s="27">
        <v>1</v>
      </c>
      <c r="F68" s="27">
        <v>0.5</v>
      </c>
      <c r="G68" s="27">
        <v>0.5</v>
      </c>
      <c r="H68" s="28">
        <v>4</v>
      </c>
      <c r="I68" s="29" t="s">
        <v>23</v>
      </c>
      <c r="J68" t="s">
        <v>112</v>
      </c>
    </row>
    <row r="69" spans="1:10" ht="27.5" thickBot="1" x14ac:dyDescent="0.35">
      <c r="A69" s="17">
        <v>39</v>
      </c>
      <c r="B69" s="29" t="s">
        <v>62</v>
      </c>
      <c r="C69" s="27">
        <v>1</v>
      </c>
      <c r="D69" s="27">
        <v>1</v>
      </c>
      <c r="E69" s="27">
        <v>1</v>
      </c>
      <c r="F69" s="27">
        <v>1</v>
      </c>
      <c r="G69" s="27">
        <v>0.5</v>
      </c>
      <c r="H69" s="28">
        <v>4.5</v>
      </c>
      <c r="I69" s="29" t="s">
        <v>23</v>
      </c>
      <c r="J69" t="s">
        <v>112</v>
      </c>
    </row>
    <row r="70" spans="1:10" ht="27.5" thickBot="1" x14ac:dyDescent="0.35">
      <c r="A70" s="17">
        <v>40</v>
      </c>
      <c r="B70" s="29" t="s">
        <v>63</v>
      </c>
      <c r="C70" s="27">
        <v>1</v>
      </c>
      <c r="D70" s="27">
        <v>1</v>
      </c>
      <c r="E70" s="27">
        <v>1</v>
      </c>
      <c r="F70" s="27">
        <v>1</v>
      </c>
      <c r="G70" s="27">
        <v>0.5</v>
      </c>
      <c r="H70" s="28">
        <v>4.5</v>
      </c>
      <c r="I70" s="29" t="s">
        <v>23</v>
      </c>
      <c r="J70" t="s">
        <v>112</v>
      </c>
    </row>
    <row r="71" spans="1:10" ht="41" thickBot="1" x14ac:dyDescent="0.35">
      <c r="A71" s="17">
        <v>41</v>
      </c>
      <c r="B71" s="29" t="s">
        <v>64</v>
      </c>
      <c r="C71" s="15">
        <v>1</v>
      </c>
      <c r="D71" s="15">
        <v>1</v>
      </c>
      <c r="E71" s="15">
        <v>1</v>
      </c>
      <c r="F71" s="15">
        <v>1</v>
      </c>
      <c r="G71" s="15">
        <v>0.5</v>
      </c>
      <c r="H71" s="16">
        <v>4.5</v>
      </c>
      <c r="I71" s="29" t="s">
        <v>23</v>
      </c>
      <c r="J71" t="s">
        <v>112</v>
      </c>
    </row>
    <row r="72" spans="1:10" ht="41" thickBot="1" x14ac:dyDescent="0.35">
      <c r="A72" s="17">
        <v>42</v>
      </c>
      <c r="B72" s="29" t="s">
        <v>65</v>
      </c>
      <c r="C72" s="15">
        <v>1</v>
      </c>
      <c r="D72" s="15">
        <v>1</v>
      </c>
      <c r="E72" s="15">
        <v>1</v>
      </c>
      <c r="F72" s="15">
        <v>1</v>
      </c>
      <c r="G72" s="15">
        <v>0.5</v>
      </c>
      <c r="H72" s="16">
        <v>4.5</v>
      </c>
      <c r="I72" s="29" t="s">
        <v>23</v>
      </c>
      <c r="J72" t="s">
        <v>112</v>
      </c>
    </row>
    <row r="73" spans="1:10" ht="41" thickBot="1" x14ac:dyDescent="0.35">
      <c r="A73" s="17">
        <v>50</v>
      </c>
      <c r="B73" s="26" t="s">
        <v>74</v>
      </c>
      <c r="C73" s="15">
        <v>1</v>
      </c>
      <c r="D73" s="15">
        <v>1</v>
      </c>
      <c r="E73" s="15">
        <v>1</v>
      </c>
      <c r="F73" s="15">
        <v>1</v>
      </c>
      <c r="G73" s="15">
        <v>1</v>
      </c>
      <c r="H73" s="16">
        <v>5</v>
      </c>
      <c r="I73" s="29" t="s">
        <v>23</v>
      </c>
      <c r="J73" t="s">
        <v>112</v>
      </c>
    </row>
    <row r="74" spans="1:10" ht="27.5" thickBot="1" x14ac:dyDescent="0.35">
      <c r="A74" s="17">
        <v>51</v>
      </c>
      <c r="B74" s="26" t="s">
        <v>75</v>
      </c>
      <c r="C74" s="15">
        <v>1</v>
      </c>
      <c r="D74" s="15">
        <v>1</v>
      </c>
      <c r="E74" s="15">
        <v>1</v>
      </c>
      <c r="F74" s="15">
        <v>1</v>
      </c>
      <c r="G74" s="15">
        <v>0.5</v>
      </c>
      <c r="H74" s="16">
        <v>4.5</v>
      </c>
      <c r="I74" s="29" t="s">
        <v>23</v>
      </c>
      <c r="J74" t="s">
        <v>112</v>
      </c>
    </row>
    <row r="75" spans="1:10" ht="27.5" thickBot="1" x14ac:dyDescent="0.35">
      <c r="A75" s="17">
        <v>53</v>
      </c>
      <c r="B75" s="29" t="s">
        <v>78</v>
      </c>
      <c r="C75" s="15">
        <v>1</v>
      </c>
      <c r="D75" s="15">
        <v>1</v>
      </c>
      <c r="E75" s="15">
        <v>1</v>
      </c>
      <c r="F75" s="15">
        <v>1</v>
      </c>
      <c r="G75" s="15">
        <v>1</v>
      </c>
      <c r="H75" s="16">
        <v>5</v>
      </c>
      <c r="I75" s="29" t="s">
        <v>23</v>
      </c>
      <c r="J75" t="s">
        <v>112</v>
      </c>
    </row>
    <row r="76" spans="1:10" ht="41" thickBot="1" x14ac:dyDescent="0.35">
      <c r="A76" s="17">
        <v>54</v>
      </c>
      <c r="B76" s="29" t="s">
        <v>79</v>
      </c>
      <c r="C76" s="15">
        <v>1</v>
      </c>
      <c r="D76" s="15">
        <v>1</v>
      </c>
      <c r="E76" s="15">
        <v>0.5</v>
      </c>
      <c r="F76" s="15">
        <v>1</v>
      </c>
      <c r="G76" s="15">
        <v>0</v>
      </c>
      <c r="H76" s="16">
        <v>3.5</v>
      </c>
      <c r="I76" s="29" t="s">
        <v>23</v>
      </c>
      <c r="J76" t="s">
        <v>112</v>
      </c>
    </row>
    <row r="77" spans="1:10" ht="41" thickBot="1" x14ac:dyDescent="0.35">
      <c r="A77" s="17">
        <v>55</v>
      </c>
      <c r="B77" s="29" t="s">
        <v>80</v>
      </c>
      <c r="C77" s="15">
        <v>1</v>
      </c>
      <c r="D77" s="15">
        <v>0.5</v>
      </c>
      <c r="E77" s="15">
        <v>1</v>
      </c>
      <c r="F77" s="15">
        <v>0.5</v>
      </c>
      <c r="G77" s="15">
        <v>0.5</v>
      </c>
      <c r="H77" s="16">
        <v>3.5</v>
      </c>
      <c r="I77" s="29" t="s">
        <v>23</v>
      </c>
      <c r="J77" t="s">
        <v>112</v>
      </c>
    </row>
    <row r="78" spans="1:10" ht="41" thickBot="1" x14ac:dyDescent="0.35">
      <c r="A78" s="17">
        <v>60</v>
      </c>
      <c r="B78" s="29" t="s">
        <v>86</v>
      </c>
      <c r="C78" s="15">
        <v>1</v>
      </c>
      <c r="D78" s="15">
        <v>1</v>
      </c>
      <c r="E78" s="15">
        <v>1</v>
      </c>
      <c r="F78" s="15">
        <v>1</v>
      </c>
      <c r="G78" s="15">
        <v>1</v>
      </c>
      <c r="H78" s="16">
        <v>5</v>
      </c>
      <c r="I78" s="29" t="s">
        <v>23</v>
      </c>
      <c r="J78" t="s">
        <v>112</v>
      </c>
    </row>
    <row r="79" spans="1:10" ht="41" thickBot="1" x14ac:dyDescent="0.35">
      <c r="A79" s="17">
        <v>63</v>
      </c>
      <c r="B79" s="26" t="s">
        <v>90</v>
      </c>
      <c r="C79" s="15">
        <v>1</v>
      </c>
      <c r="D79" s="15">
        <v>0.5</v>
      </c>
      <c r="E79" s="15">
        <v>1</v>
      </c>
      <c r="F79" s="15">
        <v>1</v>
      </c>
      <c r="G79" s="15">
        <v>1</v>
      </c>
      <c r="H79" s="16">
        <v>4.5</v>
      </c>
      <c r="I79" s="29" t="s">
        <v>23</v>
      </c>
      <c r="J79" t="s">
        <v>112</v>
      </c>
    </row>
    <row r="80" spans="1:10" ht="27.5" thickBot="1" x14ac:dyDescent="0.35">
      <c r="A80" s="44">
        <v>65</v>
      </c>
      <c r="B80" s="26" t="s">
        <v>92</v>
      </c>
      <c r="C80" s="15">
        <v>1</v>
      </c>
      <c r="D80" s="15">
        <v>1</v>
      </c>
      <c r="E80" s="15">
        <v>1</v>
      </c>
      <c r="F80" s="15">
        <v>1</v>
      </c>
      <c r="G80" s="15">
        <v>0</v>
      </c>
      <c r="H80" s="16">
        <v>4</v>
      </c>
      <c r="I80" s="29" t="s">
        <v>23</v>
      </c>
      <c r="J80" t="s">
        <v>112</v>
      </c>
    </row>
    <row r="81" spans="1:10" ht="27.5" thickBot="1" x14ac:dyDescent="0.35">
      <c r="A81" s="17">
        <v>67</v>
      </c>
      <c r="B81" s="26" t="s">
        <v>95</v>
      </c>
      <c r="C81" s="15">
        <v>1</v>
      </c>
      <c r="D81" s="15">
        <v>1</v>
      </c>
      <c r="E81" s="15">
        <v>1</v>
      </c>
      <c r="F81" s="15">
        <v>1</v>
      </c>
      <c r="G81" s="15">
        <v>1</v>
      </c>
      <c r="H81" s="16">
        <v>5</v>
      </c>
      <c r="I81" s="29" t="s">
        <v>23</v>
      </c>
      <c r="J81" t="s">
        <v>112</v>
      </c>
    </row>
    <row r="82" spans="1:10" ht="41" thickBot="1" x14ac:dyDescent="0.35">
      <c r="A82" s="17">
        <v>71</v>
      </c>
      <c r="B82" s="26" t="s">
        <v>99</v>
      </c>
      <c r="C82" s="15">
        <v>1</v>
      </c>
      <c r="D82" s="15">
        <v>1</v>
      </c>
      <c r="E82" s="15">
        <v>1</v>
      </c>
      <c r="F82" s="15">
        <v>1</v>
      </c>
      <c r="G82" s="15">
        <v>1</v>
      </c>
      <c r="H82" s="16">
        <v>5</v>
      </c>
      <c r="I82" s="29" t="s">
        <v>23</v>
      </c>
      <c r="J82" t="s">
        <v>112</v>
      </c>
    </row>
    <row r="83" spans="1:10" ht="59.5" thickBot="1" x14ac:dyDescent="0.35">
      <c r="A83" s="17">
        <v>72</v>
      </c>
      <c r="B83" s="26" t="s">
        <v>100</v>
      </c>
      <c r="C83" s="15">
        <v>1</v>
      </c>
      <c r="D83" s="15">
        <v>1</v>
      </c>
      <c r="E83" s="15">
        <v>1</v>
      </c>
      <c r="F83" s="15">
        <v>1</v>
      </c>
      <c r="G83" s="15">
        <v>1</v>
      </c>
      <c r="H83" s="16">
        <v>5</v>
      </c>
      <c r="I83" s="29" t="s">
        <v>23</v>
      </c>
      <c r="J83" t="s">
        <v>112</v>
      </c>
    </row>
    <row r="84" spans="1:10" ht="81.5" thickBot="1" x14ac:dyDescent="0.35">
      <c r="A84" s="17">
        <v>73</v>
      </c>
      <c r="B84" s="26" t="s">
        <v>101</v>
      </c>
      <c r="C84" s="15">
        <v>1</v>
      </c>
      <c r="D84" s="15">
        <v>1</v>
      </c>
      <c r="E84" s="15">
        <v>1</v>
      </c>
      <c r="F84" s="15">
        <v>1</v>
      </c>
      <c r="G84" s="15">
        <v>1</v>
      </c>
      <c r="H84" s="16">
        <v>5</v>
      </c>
      <c r="I84" s="29" t="s">
        <v>23</v>
      </c>
      <c r="J84" t="s">
        <v>112</v>
      </c>
    </row>
    <row r="85" spans="1:10" ht="46.5" thickBot="1" x14ac:dyDescent="0.35">
      <c r="A85" s="17">
        <v>75</v>
      </c>
      <c r="B85" s="46" t="s">
        <v>103</v>
      </c>
      <c r="C85" s="15">
        <v>1</v>
      </c>
      <c r="D85" s="15">
        <v>1</v>
      </c>
      <c r="E85" s="15">
        <v>1</v>
      </c>
      <c r="F85" s="15">
        <v>1</v>
      </c>
      <c r="G85" s="15">
        <v>1</v>
      </c>
      <c r="H85" s="16">
        <v>5</v>
      </c>
      <c r="I85" s="29" t="s">
        <v>23</v>
      </c>
      <c r="J85" t="s">
        <v>115</v>
      </c>
    </row>
    <row r="86" spans="1:10" ht="46.5" thickBot="1" x14ac:dyDescent="0.35">
      <c r="A86" s="17">
        <v>78</v>
      </c>
      <c r="B86" s="46" t="s">
        <v>106</v>
      </c>
      <c r="C86" s="37">
        <v>1</v>
      </c>
      <c r="D86" s="37">
        <v>1</v>
      </c>
      <c r="E86" s="37">
        <v>1</v>
      </c>
      <c r="F86" s="37">
        <v>1</v>
      </c>
      <c r="G86" s="37">
        <v>1</v>
      </c>
      <c r="H86" s="16">
        <v>5</v>
      </c>
      <c r="I86" s="29" t="s">
        <v>23</v>
      </c>
      <c r="J86" t="s">
        <v>115</v>
      </c>
    </row>
    <row r="87" spans="1:10" ht="35" thickBot="1" x14ac:dyDescent="0.35">
      <c r="A87" s="17">
        <v>79</v>
      </c>
      <c r="B87" s="46" t="s">
        <v>107</v>
      </c>
      <c r="C87" s="37">
        <v>1</v>
      </c>
      <c r="D87" s="37">
        <v>1</v>
      </c>
      <c r="E87" s="37">
        <v>1</v>
      </c>
      <c r="F87" s="37">
        <v>1</v>
      </c>
      <c r="G87" s="37">
        <v>1</v>
      </c>
      <c r="H87" s="16">
        <v>5</v>
      </c>
      <c r="I87" s="29" t="s">
        <v>23</v>
      </c>
      <c r="J87" t="s">
        <v>115</v>
      </c>
    </row>
    <row r="88" spans="1:10" ht="48" thickBot="1" x14ac:dyDescent="0.35">
      <c r="A88" s="17">
        <v>80</v>
      </c>
      <c r="B88" s="46" t="s">
        <v>108</v>
      </c>
      <c r="C88" s="37">
        <v>1</v>
      </c>
      <c r="D88" s="37">
        <v>1</v>
      </c>
      <c r="E88" s="37">
        <v>1</v>
      </c>
      <c r="F88" s="37">
        <v>1</v>
      </c>
      <c r="G88" s="37">
        <v>1</v>
      </c>
      <c r="H88" s="16">
        <v>5</v>
      </c>
      <c r="I88" s="29" t="s">
        <v>23</v>
      </c>
      <c r="J88" t="s">
        <v>115</v>
      </c>
    </row>
    <row r="89" spans="1:10" ht="23.5" thickBot="1" x14ac:dyDescent="0.35">
      <c r="A89" s="17">
        <v>82</v>
      </c>
      <c r="B89" s="46" t="s">
        <v>110</v>
      </c>
      <c r="C89" s="37">
        <v>1</v>
      </c>
      <c r="D89" s="37">
        <v>1</v>
      </c>
      <c r="E89" s="37">
        <v>1</v>
      </c>
      <c r="F89" s="37">
        <v>1</v>
      </c>
      <c r="G89" s="37">
        <v>1</v>
      </c>
      <c r="H89" s="16">
        <v>5</v>
      </c>
      <c r="I89" s="29" t="s">
        <v>23</v>
      </c>
      <c r="J89" t="s">
        <v>115</v>
      </c>
    </row>
    <row r="90" spans="1:10" ht="27.5" thickBot="1" x14ac:dyDescent="0.35">
      <c r="A90" s="17">
        <v>23</v>
      </c>
      <c r="B90" s="26" t="s">
        <v>46</v>
      </c>
      <c r="C90" s="27">
        <v>1</v>
      </c>
      <c r="D90" s="27">
        <v>1</v>
      </c>
      <c r="E90" s="27">
        <v>1</v>
      </c>
      <c r="F90" s="27">
        <v>1</v>
      </c>
      <c r="G90" s="27">
        <v>1</v>
      </c>
      <c r="H90" s="28">
        <v>5</v>
      </c>
      <c r="I90" s="29" t="s">
        <v>23</v>
      </c>
      <c r="J90" t="s">
        <v>115</v>
      </c>
    </row>
    <row r="91" spans="1:10" ht="15.5" thickBot="1" x14ac:dyDescent="0.35">
      <c r="A91" s="17"/>
      <c r="B91" s="26"/>
      <c r="C91" s="47"/>
      <c r="D91" s="47"/>
      <c r="E91" s="47"/>
      <c r="F91" s="47"/>
      <c r="G91" s="47"/>
      <c r="H91" s="29"/>
      <c r="I91" s="29"/>
    </row>
  </sheetData>
  <sortState xmlns:xlrd2="http://schemas.microsoft.com/office/spreadsheetml/2017/richdata2" ref="A2:J92">
    <sortCondition ref="J1:J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Papers 1946</vt:lpstr>
      <vt:lpstr>All Papers 1946 second Copy</vt:lpstr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</dc:creator>
  <cp:lastModifiedBy>rao</cp:lastModifiedBy>
  <dcterms:created xsi:type="dcterms:W3CDTF">2025-10-30T13:49:55Z</dcterms:created>
  <dcterms:modified xsi:type="dcterms:W3CDTF">2026-02-03T00:53:43Z</dcterms:modified>
</cp:coreProperties>
</file>