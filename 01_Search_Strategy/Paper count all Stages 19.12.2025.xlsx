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o\Documents\Towards PHD Cyber Security and CNI\Proposals\Journal Submition paper\SLR 2026\PLOS One\SLR-Insider-Threat-Detection-ML-Supplement Alriyami Murtadha - Final Copy\01_Search_Strategy\"/>
    </mc:Choice>
  </mc:AlternateContent>
  <xr:revisionPtr revIDLastSave="0" documentId="13_ncr:1_{4FCC14AA-DDB2-4CCE-8505-F3E5C514F263}" xr6:coauthVersionLast="47" xr6:coauthVersionMax="47" xr10:uidLastSave="{00000000-0000-0000-0000-000000000000}"/>
  <bookViews>
    <workbookView xWindow="-110" yWindow="-110" windowWidth="19420" windowHeight="10300" xr2:uid="{C5027576-2AE3-42F9-9AD9-DD288F20F753}"/>
  </bookViews>
  <sheets>
    <sheet name="All Papers 19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I16" i="1"/>
  <c r="G16" i="1"/>
  <c r="F16" i="1"/>
  <c r="E16" i="1"/>
  <c r="E15" i="1"/>
  <c r="D15" i="1"/>
  <c r="J15" i="1"/>
  <c r="I15" i="1"/>
  <c r="H15" i="1"/>
  <c r="F15" i="1"/>
  <c r="G15" i="1"/>
  <c r="C24" i="1"/>
</calcChain>
</file>

<file path=xl/sharedStrings.xml><?xml version="1.0" encoding="utf-8"?>
<sst xmlns="http://schemas.openxmlformats.org/spreadsheetml/2006/main" count="14" uniqueCount="14">
  <si>
    <t xml:space="preserve">Wos </t>
  </si>
  <si>
    <t xml:space="preserve">Scopus </t>
  </si>
  <si>
    <t xml:space="preserve">Excluded </t>
  </si>
  <si>
    <t xml:space="preserve">Stage 1 ( full search Count) </t>
  </si>
  <si>
    <t>Stage 4 ( full paper )</t>
  </si>
  <si>
    <t>Science Direct</t>
  </si>
  <si>
    <t>IEEE Explore</t>
  </si>
  <si>
    <t>ACM Digital Lib</t>
  </si>
  <si>
    <t>Journals Only</t>
  </si>
  <si>
    <t xml:space="preserve">Year 2021 2025  </t>
  </si>
  <si>
    <t xml:space="preserve">Duplicates </t>
  </si>
  <si>
    <t xml:space="preserve">Stage 3 ( title Only) </t>
  </si>
  <si>
    <t xml:space="preserve">Stage 4 ( title and Abstract) </t>
  </si>
  <si>
    <t xml:space="preserve">Duplicates  Not Accecible / Wrong Topic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</si>
</sst>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  <font>
      <b/>
      <sz val="24"/>
      <color rgb="FF000000"/>
      <name val="Source Sans Pro"/>
      <family val="2"/>
    </font>
    <font>
      <b/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5409-ACFE-4DCF-A0FA-74076F67850E}">
  <dimension ref="C8:J24"/>
  <sheetViews>
    <sheetView tabSelected="1" zoomScale="70" zoomScaleNormal="70" workbookViewId="0">
      <selection activeCell="D16" sqref="D16:E16"/>
    </sheetView>
  </sheetViews>
  <sheetFormatPr defaultRowHeight="14" x14ac:dyDescent="0.3"/>
  <cols>
    <col min="3" max="3" width="20.33203125" customWidth="1"/>
    <col min="4" max="4" width="22.83203125" customWidth="1"/>
    <col min="5" max="5" width="19.83203125" customWidth="1"/>
    <col min="6" max="6" width="17.58203125" customWidth="1"/>
    <col min="7" max="7" width="27.58203125" customWidth="1"/>
    <col min="8" max="8" width="42.08203125" hidden="1" customWidth="1"/>
    <col min="9" max="9" width="33.58203125" customWidth="1"/>
    <col min="10" max="10" width="28" customWidth="1"/>
  </cols>
  <sheetData>
    <row r="8" spans="3:10" ht="18" x14ac:dyDescent="0.4">
      <c r="E8" s="5" t="s">
        <v>9</v>
      </c>
      <c r="F8" s="5" t="s">
        <v>8</v>
      </c>
    </row>
    <row r="9" spans="3:10" ht="20" x14ac:dyDescent="0.4">
      <c r="C9" s="1"/>
      <c r="D9" s="10" t="s">
        <v>3</v>
      </c>
      <c r="E9" s="10"/>
      <c r="F9" s="10"/>
      <c r="G9" s="9" t="s">
        <v>11</v>
      </c>
      <c r="H9" s="11" t="s">
        <v>13</v>
      </c>
      <c r="I9" s="9" t="s">
        <v>12</v>
      </c>
      <c r="J9" s="9" t="s">
        <v>4</v>
      </c>
    </row>
    <row r="10" spans="3:10" ht="24.5" customHeight="1" x14ac:dyDescent="0.7">
      <c r="C10" s="9" t="s">
        <v>0</v>
      </c>
      <c r="D10" s="3">
        <v>215</v>
      </c>
      <c r="E10" s="2">
        <v>149</v>
      </c>
      <c r="F10" s="2">
        <v>118</v>
      </c>
      <c r="G10" s="2">
        <v>58</v>
      </c>
      <c r="H10" s="2">
        <v>23</v>
      </c>
      <c r="I10" s="2">
        <v>40</v>
      </c>
      <c r="J10" s="2">
        <v>36</v>
      </c>
    </row>
    <row r="11" spans="3:10" ht="31" x14ac:dyDescent="0.7">
      <c r="C11" s="9" t="s">
        <v>1</v>
      </c>
      <c r="D11" s="3">
        <v>343</v>
      </c>
      <c r="E11" s="2">
        <v>255</v>
      </c>
      <c r="F11" s="2">
        <v>108</v>
      </c>
      <c r="G11" s="2">
        <v>84</v>
      </c>
      <c r="H11" s="2">
        <v>25</v>
      </c>
      <c r="I11" s="2">
        <v>40</v>
      </c>
      <c r="J11" s="2">
        <v>34</v>
      </c>
    </row>
    <row r="12" spans="3:10" ht="31" x14ac:dyDescent="0.7">
      <c r="C12" s="9" t="s">
        <v>5</v>
      </c>
      <c r="D12" s="3">
        <v>902</v>
      </c>
      <c r="E12" s="2">
        <v>659</v>
      </c>
      <c r="F12" s="2">
        <v>389</v>
      </c>
      <c r="G12" s="2">
        <v>27</v>
      </c>
      <c r="H12" s="2">
        <v>5</v>
      </c>
      <c r="I12" s="2">
        <v>8</v>
      </c>
      <c r="J12" s="2">
        <v>3</v>
      </c>
    </row>
    <row r="13" spans="3:10" ht="31" x14ac:dyDescent="0.7">
      <c r="C13" s="9" t="s">
        <v>6</v>
      </c>
      <c r="D13" s="3">
        <v>439</v>
      </c>
      <c r="E13" s="2">
        <v>272</v>
      </c>
      <c r="F13" s="2">
        <v>44</v>
      </c>
      <c r="G13" s="2">
        <v>31</v>
      </c>
      <c r="H13" s="2">
        <v>17</v>
      </c>
      <c r="I13" s="2">
        <v>10</v>
      </c>
      <c r="J13" s="2">
        <v>9</v>
      </c>
    </row>
    <row r="14" spans="3:10" ht="31" x14ac:dyDescent="0.7">
      <c r="C14" s="9" t="s">
        <v>7</v>
      </c>
      <c r="D14" s="3">
        <v>50</v>
      </c>
      <c r="E14" s="2">
        <v>43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</row>
    <row r="15" spans="3:10" ht="20" x14ac:dyDescent="0.4">
      <c r="C15" s="9"/>
      <c r="D15" s="4">
        <f>SUM(D10:D14)</f>
        <v>1949</v>
      </c>
      <c r="E15" s="4">
        <f>SUM(E10:E14)</f>
        <v>1378</v>
      </c>
      <c r="F15" s="4">
        <f t="shared" ref="F15:I15" si="0">SUM(F10:F14)</f>
        <v>663</v>
      </c>
      <c r="G15" s="4">
        <f t="shared" si="0"/>
        <v>200</v>
      </c>
      <c r="H15" s="4">
        <f t="shared" si="0"/>
        <v>70</v>
      </c>
      <c r="I15" s="4">
        <f t="shared" si="0"/>
        <v>98</v>
      </c>
      <c r="J15" s="4">
        <f>SUM(J10:J14)</f>
        <v>82</v>
      </c>
    </row>
    <row r="16" spans="3:10" ht="20" x14ac:dyDescent="0.4">
      <c r="C16" s="9" t="s">
        <v>2</v>
      </c>
      <c r="D16" s="2">
        <f>D15-E15</f>
        <v>571</v>
      </c>
      <c r="E16" s="2">
        <f>E15-F15</f>
        <v>715</v>
      </c>
      <c r="F16" s="2">
        <f>F15-G15</f>
        <v>463</v>
      </c>
      <c r="G16" s="2">
        <f>G15-I15</f>
        <v>102</v>
      </c>
      <c r="H16" s="6"/>
      <c r="I16" s="2">
        <f>I15-J15</f>
        <v>16</v>
      </c>
      <c r="J16" s="1"/>
    </row>
    <row r="17" spans="3:8" ht="17.5" x14ac:dyDescent="0.35">
      <c r="D17" s="8">
        <f>D16+E16</f>
        <v>1286</v>
      </c>
      <c r="E17" s="8"/>
      <c r="H17" s="7"/>
    </row>
    <row r="20" spans="3:8" x14ac:dyDescent="0.3">
      <c r="H20" t="s">
        <v>10</v>
      </c>
    </row>
    <row r="24" spans="3:8" x14ac:dyDescent="0.3">
      <c r="C24">
        <f>477+25+15</f>
        <v>517</v>
      </c>
    </row>
  </sheetData>
  <mergeCells count="2">
    <mergeCell ref="D9:F9"/>
    <mergeCell ref="D17:E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Papers 1946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</dc:creator>
  <cp:lastModifiedBy>rao</cp:lastModifiedBy>
  <dcterms:created xsi:type="dcterms:W3CDTF">2025-10-30T13:49:55Z</dcterms:created>
  <dcterms:modified xsi:type="dcterms:W3CDTF">2026-03-12T05:00:45Z</dcterms:modified>
</cp:coreProperties>
</file>