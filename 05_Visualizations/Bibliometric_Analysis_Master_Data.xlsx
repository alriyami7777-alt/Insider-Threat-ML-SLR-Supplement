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o\Documents\Towards PHD Cyber Security and CNI\Proposals\Journal Submition paper\SLR 2026\PLOS One\SLR-Insider-Threat-Detection-ML-Supplement Alriyami Murtadha - Final Copy\05_Visualizations\"/>
    </mc:Choice>
  </mc:AlternateContent>
  <xr:revisionPtr revIDLastSave="0" documentId="8_{0BF410CC-7FE6-4981-8D5F-43D9A3A3F35D}" xr6:coauthVersionLast="47" xr6:coauthVersionMax="47" xr10:uidLastSave="{00000000-0000-0000-0000-000000000000}"/>
  <bookViews>
    <workbookView xWindow="-28920" yWindow="-75" windowWidth="29040" windowHeight="15720" activeTab="3" xr2:uid="{A31D2125-A59A-4719-8AF0-8461B77889D6}"/>
  </bookViews>
  <sheets>
    <sheet name="Journal Source of Papers" sheetId="3" r:id="rId1"/>
    <sheet name="Publisher Source " sheetId="4" r:id="rId2"/>
    <sheet name="Qartile Distribution" sheetId="5" r:id="rId3"/>
    <sheet name="Journal Namd and Paper Count" sheetId="6" r:id="rId4"/>
    <sheet name="Publication Year Analysi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8" l="1"/>
  <c r="R18" i="8"/>
  <c r="R17" i="8"/>
  <c r="R16" i="8"/>
  <c r="R15" i="8"/>
  <c r="Q20" i="8"/>
  <c r="B48" i="3"/>
</calcChain>
</file>

<file path=xl/sharedStrings.xml><?xml version="1.0" encoding="utf-8"?>
<sst xmlns="http://schemas.openxmlformats.org/spreadsheetml/2006/main" count="404" uniqueCount="281">
  <si>
    <t>ISSN</t>
  </si>
  <si>
    <t>APPLIED SCIENCES-BASEL</t>
  </si>
  <si>
    <t>2076-3417</t>
  </si>
  <si>
    <t>IEEE INTERNET OF THINGS JOURNAL</t>
  </si>
  <si>
    <t>2327-4662</t>
  </si>
  <si>
    <t>IEEE ACCESS</t>
  </si>
  <si>
    <t>2169-3536</t>
  </si>
  <si>
    <t>SCIENTIFIC REPORTS</t>
  </si>
  <si>
    <t>2045-2322</t>
  </si>
  <si>
    <t>ENGINEERING APPLICATIONS OF ARTIFICIAL INTELLIGENCE</t>
  </si>
  <si>
    <t>0952-1976</t>
  </si>
  <si>
    <t>EXPERT SYSTEMS WITH APPLICATIONS</t>
  </si>
  <si>
    <t>0957-4174</t>
  </si>
  <si>
    <t>JOURNAL OF INFORMATION SECURITY AND APPLICATIONS</t>
  </si>
  <si>
    <t>2214-2126</t>
  </si>
  <si>
    <t>AD HOC NETWORKS</t>
  </si>
  <si>
    <t>1570-8705</t>
  </si>
  <si>
    <t>IEEE TRANSACTIONS ON INFORMATION FORENSICS AND SECURITY</t>
  </si>
  <si>
    <t>1556-6013</t>
  </si>
  <si>
    <t>Insider Threat Detection Using Machine Learning Approach</t>
  </si>
  <si>
    <t>DPI-ITD: A Dual-Perspective Information-Driven Framework for Insider Threat Detection in IoT Systems</t>
  </si>
  <si>
    <t>Double-Layer Detection of Internal Threat in Enterprise Systems Based on Deep Learning</t>
  </si>
  <si>
    <t>Research on insider threat detection based on personalized federated learning and behavior log analysis</t>
  </si>
  <si>
    <t>Scientific Reports</t>
  </si>
  <si>
    <t>Generative Agent-Based Modeling with Large Language Models for insider threat detection</t>
  </si>
  <si>
    <t>Explainable artificial intelligence to evaluate industrial internal security using EEG signals in IoT framework</t>
  </si>
  <si>
    <t>Hybrid deep learning model using SPCAGAN augmentation for insider threat analysis</t>
  </si>
  <si>
    <t>DTITD: An Intelligent Insider Threat Detection Framework Based on Digital Twin and Self-Attention Based Deep Learning Models</t>
  </si>
  <si>
    <t>Behavioral Based Insider Threat Detection Using Deep Learning</t>
  </si>
  <si>
    <t>BRITD: behavior rhythm insider threat detection with time awareness and user adaptation</t>
  </si>
  <si>
    <t>Cybersecurity</t>
  </si>
  <si>
    <t>E-Watcher: insider threat monitoring and detection for enhanced security</t>
  </si>
  <si>
    <t>M-EOS: modified-equilibrium optimization-based stacked CNN for insider threat detection</t>
  </si>
  <si>
    <t>Temporal feature aggregation with attention for insider threat detection from activity logs</t>
  </si>
  <si>
    <t>Insider Threat Detection Based on Deep Clustering of Multi-Source Behavioral Events</t>
  </si>
  <si>
    <t>An Integrated Imbalanced Learning and Deep Neural Network Model for Insider Threat Detection</t>
  </si>
  <si>
    <t>An approach to internal threats detection based on sentiment analysis and network analysis</t>
  </si>
  <si>
    <t>Paper Count</t>
  </si>
  <si>
    <t>Applied Soft Computing</t>
  </si>
  <si>
    <t>BMC Medical Informatics and Decision Making</t>
  </si>
  <si>
    <t>Cyber Security and Applications</t>
  </si>
  <si>
    <t>Entropy</t>
  </si>
  <si>
    <t>Forensic Science International: Digital Investigation</t>
  </si>
  <si>
    <t>Future Generation Computer Systems</t>
  </si>
  <si>
    <t>IEEE Network</t>
  </si>
  <si>
    <t>Intelligent Automation and Soft Computing</t>
  </si>
  <si>
    <t>International Journal of Applied Decision Sciences</t>
  </si>
  <si>
    <t>International Journal of Communication Networks and Information Security</t>
  </si>
  <si>
    <t>International Journal of Computer Network and Information Security</t>
  </si>
  <si>
    <t>International Journal of Electrical and Electronic Engineering and Telecommunications</t>
  </si>
  <si>
    <t>International Journal of Engineering Trends and Technology</t>
  </si>
  <si>
    <t>International Journal of Innovative Technology and Interdisciplinary Sciences</t>
  </si>
  <si>
    <t>Journal of Supercomputing</t>
  </si>
  <si>
    <t>Journal of Theoretical and Applied Information Technology</t>
  </si>
  <si>
    <t>Journal of Wireless Mobile Networks, Ubiquitous Computing, and Dependable Applications</t>
  </si>
  <si>
    <t>Mobile Networks and Applications</t>
  </si>
  <si>
    <t>Sustainable Energy Technologies and Assessments</t>
  </si>
  <si>
    <t>Publication Title</t>
  </si>
  <si>
    <t>Number of Papers</t>
  </si>
  <si>
    <t>IEEE Transactions on Dependable and Secure Computing</t>
  </si>
  <si>
    <t>Computers and Electrical Engineering</t>
  </si>
  <si>
    <t>Future Internet</t>
  </si>
  <si>
    <t>IEEE Transactions on Network and Service Management</t>
  </si>
  <si>
    <t>INTERNATIONAL JOURNAL OF ADVANCED COMPUTER SCIENCE AND APPLICATIONS</t>
  </si>
  <si>
    <t>ANNALS OF TELECOMMUNICATIONS</t>
  </si>
  <si>
    <t>COMPUTER SYSTEMS SCIENCE AND ENGINEERING</t>
  </si>
  <si>
    <t>COMPUTERS &amp; ELECTRICAL ENGINEERING</t>
  </si>
  <si>
    <t>IEEE TRANSACTIONS ON INDUSTRIAL INFORMATICS</t>
  </si>
  <si>
    <t>IEEE TRANSACTIONS ON NETWORK SCIENCE AND ENGINEERING</t>
  </si>
  <si>
    <t>INTERNATIONAL JOURNAL OF INFORMATION SECURITY</t>
  </si>
  <si>
    <t>INTERNET OF THINGS</t>
  </si>
  <si>
    <t>JOURNAL OF NETWORK AND SYSTEMS MANAGEMENT</t>
  </si>
  <si>
    <t>KNOWLEDGE-BASED SYSTEMS</t>
  </si>
  <si>
    <t>NIPES – Journal of Science and Technology Research</t>
  </si>
  <si>
    <t>WIRELESS NETWORKS</t>
  </si>
  <si>
    <t>Publisher / Source</t>
  </si>
  <si>
    <t>Note</t>
  </si>
  <si>
    <t>IEEE</t>
  </si>
  <si>
    <t>Includes IEEE Access, IoT Journal, Transactions, etc.</t>
  </si>
  <si>
    <t>Elsevier</t>
  </si>
  <si>
    <t>Includes Computers &amp; Security, JISA, etc.</t>
  </si>
  <si>
    <t>MDPI</t>
  </si>
  <si>
    <t>Includes Applied Sciences, Future Internet, etc.</t>
  </si>
  <si>
    <t>Nature</t>
  </si>
  <si>
    <t>Springer</t>
  </si>
  <si>
    <t>Wireless Networks, Annals of Telecom, etc.</t>
  </si>
  <si>
    <t>Other</t>
  </si>
  <si>
    <t>Various international journals</t>
  </si>
  <si>
    <t xml:space="preserve">Quartile </t>
  </si>
  <si>
    <t xml:space="preserve">Q2 </t>
  </si>
  <si>
    <t xml:space="preserve">Q1 </t>
  </si>
  <si>
    <t>0167-4048</t>
  </si>
  <si>
    <t>1545-5971</t>
  </si>
  <si>
    <t>0045-7906</t>
  </si>
  <si>
    <t>1999-5903</t>
  </si>
  <si>
    <t>1932-4537</t>
  </si>
  <si>
    <t>2158-107X</t>
  </si>
  <si>
    <t>Q4</t>
  </si>
  <si>
    <t>Q3</t>
  </si>
  <si>
    <t>0003-4347</t>
  </si>
  <si>
    <t>1568-4946</t>
  </si>
  <si>
    <t>N/A</t>
  </si>
  <si>
    <t>0267-6192</t>
  </si>
  <si>
    <t>Computers &amp; Security</t>
  </si>
  <si>
    <t>-</t>
  </si>
  <si>
    <t>2523-3246</t>
  </si>
  <si>
    <t>0167-739X</t>
  </si>
  <si>
    <t>0890-8044</t>
  </si>
  <si>
    <t>1551-3203</t>
  </si>
  <si>
    <t>2327-4697</t>
  </si>
  <si>
    <t>1079-8587</t>
  </si>
  <si>
    <t>1615-5262</t>
  </si>
  <si>
    <t>2543-1536</t>
  </si>
  <si>
    <t>1064-7570</t>
  </si>
  <si>
    <t>0920-8542</t>
  </si>
  <si>
    <t>0950-7051</t>
  </si>
  <si>
    <t>1383-469X</t>
  </si>
  <si>
    <t>2213-1388</t>
  </si>
  <si>
    <t>1022-0038</t>
  </si>
  <si>
    <t>Quartile Category</t>
  </si>
  <si>
    <t>Percentage (%)</t>
  </si>
  <si>
    <t>Q1 (Top Tier)</t>
  </si>
  <si>
    <t>Q2 (High Quality)</t>
  </si>
  <si>
    <t>Q3 (Moderate)</t>
  </si>
  <si>
    <t>Q4 (Emerging)</t>
  </si>
  <si>
    <t>Other / Non-Indexed</t>
  </si>
  <si>
    <t>Total</t>
  </si>
  <si>
    <t>Others</t>
  </si>
  <si>
    <t>Publication Year</t>
  </si>
  <si>
    <t>Author</t>
  </si>
  <si>
    <t>Title</t>
  </si>
  <si>
    <t>Al Hammadi, AY; Yeun, CY; Damiani, E; Yoo, PD; Hu, JK; Yeun, HK; Yim, MS</t>
  </si>
  <si>
    <t>Wei, ZY; Rauf, U; Mohsen, F</t>
  </si>
  <si>
    <t>Feng, W.; Cao, Y.; Chen, Y.; Wang, Y.; Hu, N.; Jia, Y.; Gu, Z.</t>
  </si>
  <si>
    <t>Multi-Granularity User Anomalous Behavior Detection</t>
  </si>
  <si>
    <t>Sarhan, BB; Altwaijry, N</t>
  </si>
  <si>
    <t>Wang J, JR; Sun, QR; Zhou, CQ</t>
  </si>
  <si>
    <t>Gupta, Kishu; Saxena, Deepika; Gupta, Rishabh; Kumar, Jatinder; Singh, Ashutosh Kumar</t>
  </si>
  <si>
    <t>FedMUP: Federated learning driven malicious user prediction model for secure data distribution in cloud environments</t>
  </si>
  <si>
    <t>Tabassum, M.; Mahmood, S.; Bukhari, A.; Alshemaimri, B.; Daud, A.; Khalique, F.</t>
  </si>
  <si>
    <t>Anomaly-based threat detection in smart health using machine learning</t>
  </si>
  <si>
    <t>Anakath, AS; Kannadasan, R; Joseph, NP; Boominathan, P; Sreekanth, GR</t>
  </si>
  <si>
    <t>Insider Attack Detection Using Deep Belief Neural Network in Cloud Computing</t>
  </si>
  <si>
    <t>Asha, S; Shanmugapriya, D; Padmavathi, G</t>
  </si>
  <si>
    <t>Malicious insider threat detection using variation of sampling methods for anomaly detection in cloud environment</t>
  </si>
  <si>
    <t>Jaiswal, A.; Dwivedi, P.; Dewang, R.K.</t>
  </si>
  <si>
    <t>Handling imbalance dataset issue in insider threat detection using machine learning methods</t>
  </si>
  <si>
    <t>Al-Mhiqani, M.N.; Ahmad, R.; Zainal Abidin, Z.Z.; Abdulkareem, K.H.; Mohammed, M.A.; Gupta, D.; K, K.</t>
  </si>
  <si>
    <t>A new intelligent multilayer framework for insider threat detection</t>
  </si>
  <si>
    <t>Xiao, HT; Zhu, Y; Zhang, B; Lu, ZG; Du, D; Liu, YL</t>
  </si>
  <si>
    <t>Unveiling shadows: A comprehensive framework for insider threat detection based on statistical and sequential analysis</t>
  </si>
  <si>
    <t>Pérez-Miguel, L.; Muñoz, A.M.; Larriva-Novo, X.; Álvarez-Campana, M.; Rivera, D.</t>
  </si>
  <si>
    <t>Design and generation of a dataset for training insider threat prevention and detection models: The SPEDIA dataset</t>
  </si>
  <si>
    <t>Medvedev, V.; Budzys, A.; Kurasova, O.</t>
  </si>
  <si>
    <t>A decision-making framework for user authentication using keystroke dynamics</t>
  </si>
  <si>
    <t>Liu, H.; Liu, M.; Han, L.; Sun, H.; Fu, C.</t>
  </si>
  <si>
    <t>Ripple2Detect: A semantic similarity learning based framework for insider threat multi-step evidence detection</t>
  </si>
  <si>
    <t>Ahmadi, S.</t>
  </si>
  <si>
    <t>Autonomous identity-based threat segmentation for zero trust architecture</t>
  </si>
  <si>
    <t>Song, S; Gao, N; Zhang, YF; Ma, CQ</t>
  </si>
  <si>
    <t>Tian, Tian; Zhang, Chen; Jiang, Bo; Feng, Huamin; Lu, Zhigang</t>
  </si>
  <si>
    <t>Insider threat detection for specific threat scenarios</t>
  </si>
  <si>
    <t>Ferraro, A; Orlando, GM; Russo, D</t>
  </si>
  <si>
    <t>Al-Shehari, T.; Alsowail, R.A.</t>
  </si>
  <si>
    <t>An insider data leakage detection using one‐hot encoding, synthetic minority oversampling and machine learning techniques</t>
  </si>
  <si>
    <t>Gayathri, RG; Sajjanhar, A; Xiang, Y</t>
  </si>
  <si>
    <t>Pal, P; Chattopadhyay, P; Swarnkar, M</t>
  </si>
  <si>
    <t>Wei, Y.; Chow, K.-P.; Yiu, S.-M.</t>
  </si>
  <si>
    <t>Insider threat prediction based on unsupervised anomaly detection scheme for proactive forensic investigation</t>
  </si>
  <si>
    <t>Rauf, Usman; Shehab, Mohamed; Qamar, Nafees; Sameen, Sheema</t>
  </si>
  <si>
    <t>Formal approach to thwart against insider attacks: A bio-inspired auto-resilient policy regulation framework</t>
  </si>
  <si>
    <t>Janjua, F; Masood, A; Abbas, H; Rashid, I; Khan, MMZM</t>
  </si>
  <si>
    <t>Textual analysis of traitor-based dataset through semi supervised machine learning</t>
  </si>
  <si>
    <t>Gayathri, R.G.; Sajjanhar, A.; Xiang, Y.</t>
  </si>
  <si>
    <t>Adversarial Training for Mitigating Insider-Driven XAI-Based Backdoor Attacks</t>
  </si>
  <si>
    <t>Qawasmeh, S.A.-D.; Alqahtani, A.A.S.</t>
  </si>
  <si>
    <t>Beyond Firewall: Leveraging Machine Learning for Real-Time Insider Threats Identification and User Profiling</t>
  </si>
  <si>
    <t>Nasir, R; Afzal, M; Latif, R; Iqbal, W</t>
  </si>
  <si>
    <t>Peccatiello, RB; Gondim, JJC; Garcia, LPF</t>
  </si>
  <si>
    <t>Applying One-Class Algorithms for Data Stream-Based Insider Threat Detection</t>
  </si>
  <si>
    <t>Wang Z, ZQ; Wang, HP; El Saddik, A</t>
  </si>
  <si>
    <t>FedITD: A Federated Parameter-Efficient Tuning With Pre-Trained Large Language Models and Transfer Learning Framework for Insider Threat Detection</t>
  </si>
  <si>
    <t>Al-Shehari, T; Al-Razgan, M; Alfakih, T; Alsowail, RA; Pandiaraj, S</t>
  </si>
  <si>
    <t>Insider Threat Detection Model Using Anomaly-Based Isolation Forest Algorithm</t>
  </si>
  <si>
    <t>Lavanya, P; Glory, HA; Sriram, VSS</t>
  </si>
  <si>
    <t>Mitigating Insider Threat: A Neural Network Approach for Enhanced Security</t>
  </si>
  <si>
    <t>Al-Shehari, T.; Rosaci, D.; Al-Razgan, M.; Alfakih, T.; Kadrie, M.; Afzal, H.; Nawaz, R.</t>
  </si>
  <si>
    <t>Enhancing Insider Threat Detection in Imbalanced Cybersecurity Settings Using the Density-Based Local Outlier Factor Algorithm</t>
  </si>
  <si>
    <t>Mehmood, M.; Amin, R.; Muslam, M.M.A.; Xie, J.; Aldabbas, H.</t>
  </si>
  <si>
    <t>Privilege Escalation Attack Detection and Mitigation in Cloud Using Machine Learning</t>
  </si>
  <si>
    <t>Hafizur Rahman, M.M.; Naeem, M.A.A.; Abubakar, A.</t>
  </si>
  <si>
    <t>Threats From Unintentional Insiders: An Assessment of an Organization's Readiness Using Machine Learning</t>
  </si>
  <si>
    <t>Gonzales . O; K. Yang; S. Huang</t>
  </si>
  <si>
    <t>Contextual Sequence-Based User Behavior Anomaly Detection</t>
  </si>
  <si>
    <t>Nikiforova; A. Romanovs; V. Zabiniako; J. Kornienko</t>
  </si>
  <si>
    <t>Detecting and Identifying Insider Threats Based on Advanced Clustering Methods</t>
  </si>
  <si>
    <t>Wang, ZQ; El Saddik, A</t>
  </si>
  <si>
    <t>Kong, KC; Jin, XB; Liu, DJ; Xu, SJ; Liu, ZQ; Geng, GG</t>
  </si>
  <si>
    <t>Huang, Z.; Li, X.; Cao, X.; Chen, K.; Wang, L.; Bo-Yee Liu, L.</t>
  </si>
  <si>
    <t>IDU-Detector: A Synergistic Framework for Robust Masquerader Attack Detection</t>
  </si>
  <si>
    <t>He, D.; Lv, X.; Xu, X.; Yu, S.; Li, D.; Chan, S.; Guizani, M.</t>
  </si>
  <si>
    <t>An Effective Double-Layer Detection System Against Social Engineering Attacks</t>
  </si>
  <si>
    <t>Mehnaz; E. Bertino</t>
  </si>
  <si>
    <t>A Fine-Grained Approach for Anomaly Detection in File System Accesses With Enhanced Temporal User Profiles</t>
  </si>
  <si>
    <t>Roy K. C; G. Chen</t>
  </si>
  <si>
    <t>GraphCH: A Deep Framework for Assessing Cyber-Human Aspects in Insider Threat Detection</t>
  </si>
  <si>
    <t>Villarreal-Vasquez; G. Modelo-Howard; S. Dube; B. Bhargava</t>
  </si>
  <si>
    <t>Hunting for Insider Threats Using LSTM-Based Anomaly Detection</t>
  </si>
  <si>
    <t>Zhu, XJ; Dong, JK; Qi, J; Zhou, ZG; Dong, ZJ; Sun, YF; Wang, MY</t>
  </si>
  <si>
    <t>AUTH: An Adversarial Autoencoder Based Unsupervised Insider Threat Detection Scheme for Multisource Logs</t>
  </si>
  <si>
    <t>Dong J; J. Wei; X. Hu; Z. Dong; F. Chen; X. Hu; J. Qi</t>
  </si>
  <si>
    <t>DDCC: Synergizing Denoising Diffusion Probabilistic Models and Curriculum-Based Complexity Control for Insider Threat Detection</t>
  </si>
  <si>
    <t>He, DJ; Lv, X; Xu, XQ; Chan, S; Choo, KKR</t>
  </si>
  <si>
    <t>Li X; X. Li; J. Jia; L. Li; J. Yuan; Y. Gao; S. Yu</t>
  </si>
  <si>
    <t>A High Accuracy and Adaptive Anomaly Detection Model With Dual-Domain Graph Convolutional Network for Insider Threat Detection</t>
  </si>
  <si>
    <t>Li X; L. Li; X. Li; B. Cai; J. Jia; Y. Gao; S. Yu</t>
  </si>
  <si>
    <t>GMFITD: Graph Meta-Learning for Effective Few-Shot Insider Threat Detection</t>
  </si>
  <si>
    <t>Cai X; Y. Wang; S. Xu; H. Li; Y. Zhang; Z. Liu; X. Yuan</t>
  </si>
  <si>
    <t>LAN: Learning Adaptive Neighbors for Real-Time Insider Threat Detection</t>
  </si>
  <si>
    <t>Xiao, J.; Yang, L.; Zhong, F.; Wang, X.; Chen, H.; Li, D.</t>
  </si>
  <si>
    <t>Robust Anomaly-Based Insider Threat Detection Using Graph Neural Network</t>
  </si>
  <si>
    <t>Le, D.C.</t>
  </si>
  <si>
    <t>Anomaly Detection for Insider Threats Using Unsupervised Ensembles</t>
  </si>
  <si>
    <t>Xiao, FR; Chen, SW; Chen, SY; Ma, YY; He, HS; Yang, J</t>
  </si>
  <si>
    <t>SENTINEL: Insider Threat Detection Based on Multi-Timescale User Behavior Interaction Graph Learning</t>
  </si>
  <si>
    <t>Haq, M.A.; Khan, M.A.R.; Alshehri, M.</t>
  </si>
  <si>
    <t>Insider Threat Detection Based on NLP Word Embedding and Machine Learning</t>
  </si>
  <si>
    <t>Al-Mhiqani, MN; Isnin, SN; Ahmed, R; Abidi, ZZ</t>
  </si>
  <si>
    <t>Alshehri, A</t>
  </si>
  <si>
    <t>Relational Deep Learning Detection with Multi-Sequence Representation for Insider Threats</t>
  </si>
  <si>
    <t>Senevirathna, D.H.; Gunasekara, W.M.M.; Gunawardhana, K.P.A.T.; Ashra, M.F.F.; Fernando, H.; Abeywardena, K.Y.</t>
  </si>
  <si>
    <t>Enhancing Organizational Threat Profiling by Employing Deep Learning with Physical Security Systems and Human Behavior Analysis</t>
  </si>
  <si>
    <t>Ali, S.; Deverill, H.; Lindquist, J.; Roginski, J.</t>
  </si>
  <si>
    <t>Human and machine partnership: natural language processing of army insider threat hub data</t>
  </si>
  <si>
    <t>Amuda, O.K.; Akinyemi, B.O.; Sanni, M.L.; Aderounmu, G.A.</t>
  </si>
  <si>
    <t>A Predictive User Behaviour Analytic Model for Insider Threats in Cyberspace</t>
  </si>
  <si>
    <t>Gayathri, B.</t>
  </si>
  <si>
    <t>ITD-GMJN: Insider Thread Detection in Cloud Computing using Golf Optimized MICE based Jordan Neural Network</t>
  </si>
  <si>
    <t>Almusawy, B.; Alrammahi, A.A.H.</t>
  </si>
  <si>
    <t>Insider Detection Using Combination of Machine Learning and Expert Policies</t>
  </si>
  <si>
    <t>Pennada, P.S.S.; Nayak, S.K.; Vamsikrishna, M.V.</t>
  </si>
  <si>
    <t>Hybrid Machine Learning for Enhanced Insider Threat Detection Using Generative Latent Features</t>
  </si>
  <si>
    <t>Al-Shehari, T; Alsowail, RA</t>
  </si>
  <si>
    <t>Random resampling algorithms for addressing the imbalanced dataset classes in insider threat detection</t>
  </si>
  <si>
    <t>Yıldırım, M.; Anarım, E.</t>
  </si>
  <si>
    <t>Mitigating insider threat by profiling users based on mouse usage pattern: ensemble learning and frequency domain analysis</t>
  </si>
  <si>
    <t>Ahmad, W.</t>
  </si>
  <si>
    <t>Unveiling Anomalies: Leveraging Machine Learning for Internal User Behaviour Analysis – Top 10 Use Cases</t>
  </si>
  <si>
    <t>Amiri-Zarandi, M; Karimipour, H; Dara, RA</t>
  </si>
  <si>
    <t>A federated and explainable approach for insider threat detection in IoT</t>
  </si>
  <si>
    <t>Randive, K; Mohan, R; Sivakrishna, AM</t>
  </si>
  <si>
    <t>An efficient pattern-based approach for insider threat classification using the image-based feature representation</t>
  </si>
  <si>
    <t>Wen, Xueyuan; Dai, Kaiyan; Xiong, Qi; Chen, Lili; Zhang, Jian; Wang, Zhen</t>
  </si>
  <si>
    <t>Eshmawi, AA; Al-Nowami, A; Mirza, M; Abu-Raya, N; Al-Thabit, R; Shiaeles, S; Choi, JG; Ashraf, I</t>
  </si>
  <si>
    <t>Machine Learning-Based Network Monitoring for Cybersecurity Threat Detection</t>
  </si>
  <si>
    <t>Kamatchi, K.; Uma, E.</t>
  </si>
  <si>
    <t>Securing the edge: privacy-preserving federated learning for insider threats in IoT networks</t>
  </si>
  <si>
    <t>ENHANCED INSIDER THREAT DETECTION THROUGH MACHINE LEARNING APPROACH WITH IMBALANCED DATA RESOLUTION</t>
  </si>
  <si>
    <t>Wall, A.; Agrafiotis, I.</t>
  </si>
  <si>
    <t>A bayesian approach to insider threat detection</t>
  </si>
  <si>
    <t>Patel, T; Iyer, SS</t>
  </si>
  <si>
    <t>SiaDNN: Siamese deep neural network for anomaly detection in user behavior</t>
  </si>
  <si>
    <t>Tian, Z.; Shi, W.; Tan, Z.; Qiu, J.; Sun, Y.; Jiang, F.; Liu, Y.</t>
  </si>
  <si>
    <t>Deep Learning and Dempster-Shafer Theory Based Insider Threat Detection</t>
  </si>
  <si>
    <t>Adun, I.J.; Amadin, F.I.</t>
  </si>
  <si>
    <t>A Hybrid Supervised Machine Learning Model for the Prediction of Insider Threats</t>
  </si>
  <si>
    <t>Ye, XY; Luo, FQ; Cui, HRB; Wang, JL; Xiong, XY; Zhang, WC; Yu, JW; Zhao, WH</t>
  </si>
  <si>
    <t>Mladenovic, D; Antonijevic, M; Jovanovic, L; Simic, V; Zivkovic, M; Bacanin, N; Zivkovic, T; Perisic, J</t>
  </si>
  <si>
    <t>Sentiment classification for insider threat identification using metaheuristic optimized machine learning classifiers</t>
  </si>
  <si>
    <t>Al-Shehari, T; Kadrie, M; Al-Mhiqani, MN; Alfakih, T; Alsalman, H; Uddin, M; Ullah, SS; Dandoush, A</t>
  </si>
  <si>
    <t>Comparative evaluation of data imbalance addressing techniques for CNN-based insider threat detection</t>
  </si>
  <si>
    <t>Lavanya, P; Glory, HA; Aggarwal, M; Sriram, VSS</t>
  </si>
  <si>
    <t>Unmasking insider threats using a robust hybrid optimized generative pretrained neural network approach</t>
  </si>
  <si>
    <t>Kotb, HM; Gaber, T; Aljanah, S; Zawbaa, HM; Alkhathami, M</t>
  </si>
  <si>
    <t>A novel deep synthesis-based insider intrusion detection (DS-IID) model for malicious insiders and AI-generated threats</t>
  </si>
  <si>
    <t>Alabdulkreem, E.; Alduailij, M.; Alduailij, M.; Mansour, R.F.</t>
  </si>
  <si>
    <t>Optimal weighted fusion based insider data leakage detection and classification model for Ubiquitous computing systems</t>
  </si>
  <si>
    <t>Anju, A; Krishnamurthy, M</t>
  </si>
  <si>
    <t xml:space="preserve">Year </t>
  </si>
  <si>
    <t xml:space="preserve">Number of Papers 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</si>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</sst>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8"/>
      <name val="Arial"/>
      <family val="2"/>
      <scheme val="minor"/>
    </font>
    <font>
      <b/>
      <sz val="12"/>
      <color rgb="FF1F1F1F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2" fillId="0" borderId="1" xfId="0" applyNumberFormat="1" applyFont="1" applyBorder="1" applyAlignment="1">
      <alignment vertical="center" wrapText="1" readingOrder="1"/>
    </xf>
    <xf numFmtId="10" fontId="3" fillId="0" borderId="1" xfId="0" applyNumberFormat="1" applyFont="1" applyBorder="1" applyAlignment="1">
      <alignment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'Publisher Source '!$B$1</c:f>
              <c:strCache>
                <c:ptCount val="1"/>
                <c:pt idx="0">
                  <c:v>Paper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AE-4632-A37B-CCA3A1CA78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AE-4632-A37B-CCA3A1CA78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AE-4632-A37B-CCA3A1CA78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AE-4632-A37B-CCA3A1CA78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AE-4632-A37B-CCA3A1CA78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AE-4632-A37B-CCA3A1CA7803}"/>
              </c:ext>
            </c:extLst>
          </c:dPt>
          <c:dLbls>
            <c:dLbl>
              <c:idx val="0"/>
              <c:layout>
                <c:manualLayout>
                  <c:x val="-0.10916315676544704"/>
                  <c:y val="0.1083950187453923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AE-4632-A37B-CCA3A1CA7803}"/>
                </c:ext>
              </c:extLst>
            </c:dLbl>
            <c:dLbl>
              <c:idx val="1"/>
              <c:layout>
                <c:manualLayout>
                  <c:x val="-8.0740745291086685E-2"/>
                  <c:y val="-0.1073798469026764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AE-4632-A37B-CCA3A1CA7803}"/>
                </c:ext>
              </c:extLst>
            </c:dLbl>
            <c:dLbl>
              <c:idx val="2"/>
              <c:layout>
                <c:manualLayout>
                  <c:x val="-1.096958397633378E-6"/>
                  <c:y val="-0.1259717872706499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AE-4632-A37B-CCA3A1CA7803}"/>
                </c:ext>
              </c:extLst>
            </c:dLbl>
            <c:dLbl>
              <c:idx val="3"/>
              <c:layout>
                <c:manualLayout>
                  <c:x val="5.4845725964873589E-2"/>
                  <c:y val="-0.1192459571369476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AE-4632-A37B-CCA3A1CA7803}"/>
                </c:ext>
              </c:extLst>
            </c:dLbl>
            <c:dLbl>
              <c:idx val="4"/>
              <c:layout>
                <c:manualLayout>
                  <c:x val="7.0377779308644167E-2"/>
                  <c:y val="-0.1010191891002755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AE-4632-A37B-CCA3A1CA7803}"/>
                </c:ext>
              </c:extLst>
            </c:dLbl>
            <c:dLbl>
              <c:idx val="5"/>
              <c:layout>
                <c:manualLayout>
                  <c:x val="0.11913736069176824"/>
                  <c:y val="7.429610228299657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AE-4632-A37B-CCA3A1CA7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OM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'Publisher Source '!$A$2:$A$7</c:f>
              <c:strCache>
                <c:ptCount val="6"/>
                <c:pt idx="0">
                  <c:v>IEEE</c:v>
                </c:pt>
                <c:pt idx="1">
                  <c:v>Elsevier</c:v>
                </c:pt>
                <c:pt idx="2">
                  <c:v>MDPI</c:v>
                </c:pt>
                <c:pt idx="3">
                  <c:v>Nature</c:v>
                </c:pt>
                <c:pt idx="4">
                  <c:v>Springer</c:v>
                </c:pt>
                <c:pt idx="5">
                  <c:v>Other</c:v>
                </c:pt>
              </c:strCache>
            </c:strRef>
          </c:cat>
          <c:val>
            <c:numRef>
              <c:f>'Publisher Source '!$B$2:$B$7</c:f>
              <c:numCache>
                <c:formatCode>General</c:formatCode>
                <c:ptCount val="6"/>
                <c:pt idx="0">
                  <c:v>26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4-443C-9E94-0EFD5E6BE1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'Qartile Distribution'!$C$1</c:f>
              <c:strCache>
                <c:ptCount val="1"/>
                <c:pt idx="0">
                  <c:v>Percentage (%)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ar-OM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'Qartile Distribution'!$A$2:$A$6</c:f>
              <c:strCache>
                <c:ptCount val="5"/>
                <c:pt idx="0">
                  <c:v>Q1 (Top Tier)</c:v>
                </c:pt>
                <c:pt idx="1">
                  <c:v>Q2 (High Quality)</c:v>
                </c:pt>
                <c:pt idx="2">
                  <c:v>Q3 (Moderate)</c:v>
                </c:pt>
                <c:pt idx="3">
                  <c:v>Q4 (Emerging)</c:v>
                </c:pt>
                <c:pt idx="4">
                  <c:v>Other / Non-Indexed</c:v>
                </c:pt>
              </c:strCache>
            </c:strRef>
          </c:cat>
          <c:val>
            <c:numRef>
              <c:f>'Qartile Distribution'!$C$2:$C$6</c:f>
              <c:numCache>
                <c:formatCode>0.00%</c:formatCode>
                <c:ptCount val="5"/>
                <c:pt idx="0">
                  <c:v>0.45100000000000001</c:v>
                </c:pt>
                <c:pt idx="1">
                  <c:v>0.317</c:v>
                </c:pt>
                <c:pt idx="2">
                  <c:v>9.8000000000000004E-2</c:v>
                </c:pt>
                <c:pt idx="3">
                  <c:v>1.2E-2</c:v>
                </c:pt>
                <c:pt idx="4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E-4B8A-873F-73D0788A44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9119599"/>
        <c:axId val="39122479"/>
      </c:barChart>
      <c:catAx>
        <c:axId val="3911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ar-OM"/>
          </a:p>
        </c:txPr>
        <c:crossAx val="39122479"/>
        <c:crosses val="autoZero"/>
        <c:auto val="1"/>
        <c:lblAlgn val="ctr"/>
        <c:lblOffset val="100"/>
        <c:noMultiLvlLbl val="0"/>
      </c:catAx>
      <c:valAx>
        <c:axId val="391224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911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MY"/>
              <a:t>Journals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r-O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'Journal Namd and Paper Count'!$Q$7:$Q$24</c:f>
              <c:strCache>
                <c:ptCount val="18"/>
                <c:pt idx="0">
                  <c:v>Others</c:v>
                </c:pt>
                <c:pt idx="1">
                  <c:v>EXPERT SYSTEMS WITH APPLICATIONS</c:v>
                </c:pt>
                <c:pt idx="2">
                  <c:v>IEEE Transactions on Network and Service Management</c:v>
                </c:pt>
                <c:pt idx="3">
                  <c:v>Future Generation Computer Systems</c:v>
                </c:pt>
                <c:pt idx="4">
                  <c:v>IEEE INTERNET OF THINGS JOURNAL</c:v>
                </c:pt>
                <c:pt idx="5">
                  <c:v>IEEE TRANSACTIONS ON INDUSTRIAL INFORMATICS</c:v>
                </c:pt>
                <c:pt idx="6">
                  <c:v>Future Internet</c:v>
                </c:pt>
                <c:pt idx="7">
                  <c:v>Cybersecurity</c:v>
                </c:pt>
                <c:pt idx="8">
                  <c:v>INTERNATIONAL JOURNAL OF INFORMATION SECURITY</c:v>
                </c:pt>
                <c:pt idx="9">
                  <c:v>JOURNAL OF INFORMATION SECURITY AND APPLICATIONS</c:v>
                </c:pt>
                <c:pt idx="10">
                  <c:v>IEEE Transactions on Dependable and Secure Computing</c:v>
                </c:pt>
                <c:pt idx="11">
                  <c:v>APPLIED SCIENCES-BASEL</c:v>
                </c:pt>
                <c:pt idx="12">
                  <c:v>INTERNATIONAL JOURNAL OF ADVANCED COMPUTER SCIENCE AND APPLICATIONS</c:v>
                </c:pt>
                <c:pt idx="13">
                  <c:v>Computers and Electrical Engineering</c:v>
                </c:pt>
                <c:pt idx="14">
                  <c:v>Computers &amp; Security</c:v>
                </c:pt>
                <c:pt idx="15">
                  <c:v>IEEE TRANSACTIONS ON INFORMATION FORENSICS AND SECURITY</c:v>
                </c:pt>
                <c:pt idx="16">
                  <c:v>SCIENTIFIC REPORTS</c:v>
                </c:pt>
                <c:pt idx="17">
                  <c:v>IEEE ACCESS</c:v>
                </c:pt>
              </c:strCache>
            </c:strRef>
          </c:cat>
          <c:val>
            <c:numRef>
              <c:f>'Journal Namd and Paper Count'!$R$7:$R$24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4FCD-9F34-1AE204F0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41650480"/>
        <c:axId val="441650960"/>
      </c:barChart>
      <c:catAx>
        <c:axId val="441650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441650960"/>
        <c:crosses val="autoZero"/>
        <c:auto val="1"/>
        <c:lblAlgn val="ctr"/>
        <c:lblOffset val="100"/>
        <c:noMultiLvlLbl val="0"/>
      </c:catAx>
      <c:valAx>
        <c:axId val="44165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44165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'Publication Year Analysis'!$Q$15:$Q$19</c:f>
              <c:strCache>
                <c:ptCount val="5"/>
                <c:pt idx="0">
                  <c:v>10</c:v>
                </c:pt>
                <c:pt idx="1">
                  <c:v>9</c:v>
                </c:pt>
                <c:pt idx="2">
                  <c:v>16</c:v>
                </c:pt>
                <c:pt idx="3">
                  <c:v>22</c:v>
                </c:pt>
                <c:pt idx="4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OM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'Publication Year Analysis'!$P$15:$P$19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'Publication Year Analysis'!$P$15:$P$19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0-4BA9-9BD2-C8AA9B34BE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752239"/>
        <c:axId val="70750799"/>
      </c:barChart>
      <c:catAx>
        <c:axId val="7075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70750799"/>
        <c:crosses val="autoZero"/>
        <c:auto val="1"/>
        <c:lblAlgn val="ctr"/>
        <c:lblOffset val="100"/>
        <c:noMultiLvlLbl val="0"/>
      </c:catAx>
      <c:valAx>
        <c:axId val="7075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7075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348494</xdr:colOff>
      <xdr:row>8</xdr:row>
      <xdr:rowOff>103518</xdr:rowOff>
    </xdr:from>
    <xdr:to>
      <xdr:col>2</xdr:col>
      <xdr:colOff>2513556</xdr:colOff>
      <xdr:row>23</xdr:row>
      <xdr:rowOff>130413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F6439-AC35-62DA-0E1B-231553A17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0</xdr:row>
      <xdr:rowOff>168275</xdr:rowOff>
    </xdr:from>
    <xdr:to>
      <xdr:col>10</xdr:col>
      <xdr:colOff>500062</xdr:colOff>
      <xdr:row>12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A4898-BAC9-D5A2-B9D4-8199B9790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58737</xdr:colOff>
      <xdr:row>16</xdr:row>
      <xdr:rowOff>4761</xdr:rowOff>
    </xdr:from>
    <xdr:to>
      <xdr:col>22</xdr:col>
      <xdr:colOff>266699</xdr:colOff>
      <xdr:row>46</xdr:row>
      <xdr:rowOff>17461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6629D-C721-CF07-64DF-A5E431083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322449</xdr:colOff>
      <xdr:row>4</xdr:row>
      <xdr:rowOff>72278</xdr:rowOff>
    </xdr:from>
    <xdr:to>
      <xdr:col>25</xdr:col>
      <xdr:colOff>306761</xdr:colOff>
      <xdr:row>19</xdr:row>
      <xdr:rowOff>104028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2EDF9-8D44-16C4-0C3E-474308CF7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030D-709A-41CF-BCD4-DB7E80BE5442}">
  <dimension ref="A1:D48"/>
  <sheetViews>
    <sheetView zoomScaleNormal="100" workbookViewId="0">
      <selection activeCell="B2" sqref="B2:B11"/>
    </sheetView>
  </sheetViews>
  <sheetFormatPr defaultRowHeight="14" x14ac:dyDescent="0.3"/>
  <cols>
    <col min="1" max="1" width="80.6640625" customWidth="1"/>
    <col min="2" max="3" width="17.83203125" style="8" customWidth="1"/>
  </cols>
  <sheetData>
    <row r="1" spans="1:4" ht="14.5" thickBot="1" x14ac:dyDescent="0.35">
      <c r="A1" s="7" t="s">
        <v>57</v>
      </c>
      <c r="B1" s="4" t="s">
        <v>58</v>
      </c>
      <c r="C1" s="4" t="s">
        <v>0</v>
      </c>
      <c r="D1" s="4" t="s">
        <v>88</v>
      </c>
    </row>
    <row r="2" spans="1:4" ht="16" customHeight="1" thickBot="1" x14ac:dyDescent="0.35">
      <c r="A2" s="5" t="s">
        <v>40</v>
      </c>
      <c r="B2" s="3">
        <v>1</v>
      </c>
      <c r="C2" s="13" t="s">
        <v>104</v>
      </c>
      <c r="D2" s="10" t="s">
        <v>104</v>
      </c>
    </row>
    <row r="3" spans="1:4" ht="18.5" customHeight="1" thickBot="1" x14ac:dyDescent="0.35">
      <c r="A3" s="5" t="s">
        <v>46</v>
      </c>
      <c r="B3" s="3">
        <v>1</v>
      </c>
      <c r="C3" s="13" t="s">
        <v>104</v>
      </c>
      <c r="D3" s="10" t="s">
        <v>104</v>
      </c>
    </row>
    <row r="4" spans="1:4" ht="22.5" customHeight="1" thickBot="1" x14ac:dyDescent="0.35">
      <c r="A4" s="5" t="s">
        <v>47</v>
      </c>
      <c r="B4" s="3">
        <v>1</v>
      </c>
      <c r="C4" s="13" t="s">
        <v>104</v>
      </c>
      <c r="D4" s="10" t="s">
        <v>104</v>
      </c>
    </row>
    <row r="5" spans="1:4" ht="20" customHeight="1" thickBot="1" x14ac:dyDescent="0.35">
      <c r="A5" s="5" t="s">
        <v>48</v>
      </c>
      <c r="B5" s="3">
        <v>1</v>
      </c>
      <c r="C5" s="13" t="s">
        <v>104</v>
      </c>
      <c r="D5" s="10" t="s">
        <v>104</v>
      </c>
    </row>
    <row r="6" spans="1:4" ht="27" customHeight="1" thickBot="1" x14ac:dyDescent="0.35">
      <c r="A6" s="5" t="s">
        <v>49</v>
      </c>
      <c r="B6" s="3">
        <v>1</v>
      </c>
      <c r="C6" s="13" t="s">
        <v>104</v>
      </c>
      <c r="D6" s="10" t="s">
        <v>104</v>
      </c>
    </row>
    <row r="7" spans="1:4" ht="16" customHeight="1" thickBot="1" x14ac:dyDescent="0.35">
      <c r="A7" s="5" t="s">
        <v>50</v>
      </c>
      <c r="B7" s="3">
        <v>1</v>
      </c>
      <c r="C7" s="13" t="s">
        <v>104</v>
      </c>
      <c r="D7" s="10" t="s">
        <v>104</v>
      </c>
    </row>
    <row r="8" spans="1:4" ht="15.5" customHeight="1" thickBot="1" x14ac:dyDescent="0.35">
      <c r="A8" s="5" t="s">
        <v>51</v>
      </c>
      <c r="B8" s="3">
        <v>1</v>
      </c>
      <c r="C8" s="13" t="s">
        <v>104</v>
      </c>
      <c r="D8" s="10" t="s">
        <v>104</v>
      </c>
    </row>
    <row r="9" spans="1:4" ht="16" thickBot="1" x14ac:dyDescent="0.35">
      <c r="A9" s="5" t="s">
        <v>53</v>
      </c>
      <c r="B9" s="3">
        <v>1</v>
      </c>
      <c r="C9" s="13" t="s">
        <v>104</v>
      </c>
      <c r="D9" s="10" t="s">
        <v>104</v>
      </c>
    </row>
    <row r="10" spans="1:4" ht="16.5" customHeight="1" thickBot="1" x14ac:dyDescent="0.35">
      <c r="A10" s="5" t="s">
        <v>54</v>
      </c>
      <c r="B10" s="3">
        <v>1</v>
      </c>
      <c r="C10" s="13" t="s">
        <v>104</v>
      </c>
      <c r="D10" s="10" t="s">
        <v>104</v>
      </c>
    </row>
    <row r="11" spans="1:4" ht="23.5" customHeight="1" thickBot="1" x14ac:dyDescent="0.35">
      <c r="A11" s="5" t="s">
        <v>73</v>
      </c>
      <c r="B11" s="3">
        <v>1</v>
      </c>
      <c r="C11" s="13" t="s">
        <v>104</v>
      </c>
      <c r="D11" s="10" t="s">
        <v>104</v>
      </c>
    </row>
    <row r="12" spans="1:4" ht="16" thickBot="1" x14ac:dyDescent="0.35">
      <c r="A12" s="6" t="s">
        <v>7</v>
      </c>
      <c r="B12" s="4">
        <v>5</v>
      </c>
      <c r="C12" s="11" t="s">
        <v>8</v>
      </c>
      <c r="D12" s="8" t="s">
        <v>90</v>
      </c>
    </row>
    <row r="13" spans="1:4" ht="16" thickBot="1" x14ac:dyDescent="0.35">
      <c r="A13" s="6" t="s">
        <v>103</v>
      </c>
      <c r="B13" s="4">
        <v>4</v>
      </c>
      <c r="C13" s="11" t="s">
        <v>91</v>
      </c>
      <c r="D13" s="8" t="s">
        <v>90</v>
      </c>
    </row>
    <row r="14" spans="1:4" ht="16" thickBot="1" x14ac:dyDescent="0.35">
      <c r="A14" s="6" t="s">
        <v>59</v>
      </c>
      <c r="B14" s="4">
        <v>3</v>
      </c>
      <c r="C14" s="11" t="s">
        <v>92</v>
      </c>
      <c r="D14" s="8" t="s">
        <v>90</v>
      </c>
    </row>
    <row r="15" spans="1:4" ht="16" thickBot="1" x14ac:dyDescent="0.35">
      <c r="A15" t="s">
        <v>17</v>
      </c>
      <c r="B15" s="4">
        <v>4</v>
      </c>
      <c r="C15" s="11" t="s">
        <v>18</v>
      </c>
      <c r="D15" s="8" t="s">
        <v>90</v>
      </c>
    </row>
    <row r="16" spans="1:4" ht="16" thickBot="1" x14ac:dyDescent="0.35">
      <c r="A16" s="5" t="s">
        <v>60</v>
      </c>
      <c r="B16" s="3">
        <v>2</v>
      </c>
      <c r="C16" s="11" t="s">
        <v>93</v>
      </c>
      <c r="D16" s="8" t="s">
        <v>90</v>
      </c>
    </row>
    <row r="17" spans="1:4" ht="16" thickBot="1" x14ac:dyDescent="0.35">
      <c r="A17" s="5" t="s">
        <v>11</v>
      </c>
      <c r="B17" s="3">
        <v>2</v>
      </c>
      <c r="C17" s="11" t="s">
        <v>12</v>
      </c>
      <c r="D17" s="14" t="s">
        <v>90</v>
      </c>
    </row>
    <row r="18" spans="1:4" ht="16" thickBot="1" x14ac:dyDescent="0.35">
      <c r="A18" s="5" t="s">
        <v>62</v>
      </c>
      <c r="B18" s="3">
        <v>2</v>
      </c>
      <c r="C18" s="11" t="s">
        <v>95</v>
      </c>
      <c r="D18" s="8" t="s">
        <v>90</v>
      </c>
    </row>
    <row r="19" spans="1:4" ht="16" thickBot="1" x14ac:dyDescent="0.35">
      <c r="A19" s="5" t="s">
        <v>43</v>
      </c>
      <c r="B19" s="3">
        <v>2</v>
      </c>
      <c r="C19" s="11" t="s">
        <v>106</v>
      </c>
      <c r="D19" s="8" t="s">
        <v>90</v>
      </c>
    </row>
    <row r="20" spans="1:4" ht="16" thickBot="1" x14ac:dyDescent="0.35">
      <c r="A20" s="5" t="s">
        <v>3</v>
      </c>
      <c r="B20" s="3">
        <v>2</v>
      </c>
      <c r="C20" s="11" t="s">
        <v>4</v>
      </c>
      <c r="D20" s="8" t="s">
        <v>90</v>
      </c>
    </row>
    <row r="21" spans="1:4" ht="16" thickBot="1" x14ac:dyDescent="0.35">
      <c r="A21" s="5" t="s">
        <v>67</v>
      </c>
      <c r="B21" s="3">
        <v>2</v>
      </c>
      <c r="C21" s="11" t="s">
        <v>108</v>
      </c>
      <c r="D21" s="8" t="s">
        <v>90</v>
      </c>
    </row>
    <row r="22" spans="1:4" ht="16" thickBot="1" x14ac:dyDescent="0.35">
      <c r="A22" s="5" t="s">
        <v>15</v>
      </c>
      <c r="B22" s="3">
        <v>1</v>
      </c>
      <c r="C22" s="11" t="s">
        <v>16</v>
      </c>
      <c r="D22" s="8" t="s">
        <v>90</v>
      </c>
    </row>
    <row r="23" spans="1:4" ht="16" thickBot="1" x14ac:dyDescent="0.35">
      <c r="A23" s="5" t="s">
        <v>38</v>
      </c>
      <c r="B23" s="3">
        <v>1</v>
      </c>
      <c r="C23" s="11" t="s">
        <v>100</v>
      </c>
      <c r="D23" s="8" t="s">
        <v>90</v>
      </c>
    </row>
    <row r="24" spans="1:4" ht="16" thickBot="1" x14ac:dyDescent="0.35">
      <c r="A24" s="5" t="s">
        <v>66</v>
      </c>
      <c r="B24" s="3">
        <v>1</v>
      </c>
      <c r="C24" s="11" t="s">
        <v>93</v>
      </c>
      <c r="D24" s="8" t="s">
        <v>90</v>
      </c>
    </row>
    <row r="25" spans="1:4" ht="16" thickBot="1" x14ac:dyDescent="0.35">
      <c r="A25" s="5" t="s">
        <v>9</v>
      </c>
      <c r="B25" s="3">
        <v>1</v>
      </c>
      <c r="C25" s="12" t="s">
        <v>10</v>
      </c>
      <c r="D25" s="8" t="s">
        <v>90</v>
      </c>
    </row>
    <row r="26" spans="1:4" ht="16" thickBot="1" x14ac:dyDescent="0.35">
      <c r="A26" s="5" t="s">
        <v>44</v>
      </c>
      <c r="B26" s="3">
        <v>1</v>
      </c>
      <c r="C26" s="11" t="s">
        <v>107</v>
      </c>
      <c r="D26" s="8" t="s">
        <v>90</v>
      </c>
    </row>
    <row r="27" spans="1:4" ht="16" thickBot="1" x14ac:dyDescent="0.35">
      <c r="A27" s="5" t="s">
        <v>68</v>
      </c>
      <c r="B27" s="3">
        <v>1</v>
      </c>
      <c r="C27" s="11" t="s">
        <v>109</v>
      </c>
      <c r="D27" s="8" t="s">
        <v>90</v>
      </c>
    </row>
    <row r="28" spans="1:4" ht="16" thickBot="1" x14ac:dyDescent="0.35">
      <c r="A28" s="5" t="s">
        <v>70</v>
      </c>
      <c r="B28" s="3">
        <v>1</v>
      </c>
      <c r="C28" s="11" t="s">
        <v>112</v>
      </c>
      <c r="D28" s="8" t="s">
        <v>90</v>
      </c>
    </row>
    <row r="29" spans="1:4" ht="16" thickBot="1" x14ac:dyDescent="0.35">
      <c r="A29" s="5" t="s">
        <v>72</v>
      </c>
      <c r="B29" s="3">
        <v>1</v>
      </c>
      <c r="C29" s="11" t="s">
        <v>115</v>
      </c>
      <c r="D29" s="8" t="s">
        <v>90</v>
      </c>
    </row>
    <row r="30" spans="1:4" ht="14.5" thickBot="1" x14ac:dyDescent="0.35">
      <c r="A30" s="5" t="s">
        <v>56</v>
      </c>
      <c r="B30" s="3">
        <v>1</v>
      </c>
      <c r="C30" s="14" t="s">
        <v>117</v>
      </c>
      <c r="D30" s="8" t="s">
        <v>90</v>
      </c>
    </row>
    <row r="31" spans="1:4" ht="16" thickBot="1" x14ac:dyDescent="0.35">
      <c r="A31" s="6" t="s">
        <v>5</v>
      </c>
      <c r="B31" s="4">
        <v>11</v>
      </c>
      <c r="C31" s="11" t="s">
        <v>6</v>
      </c>
      <c r="D31" s="8" t="s">
        <v>89</v>
      </c>
    </row>
    <row r="32" spans="1:4" ht="15.5" x14ac:dyDescent="0.3">
      <c r="A32" s="5" t="s">
        <v>1</v>
      </c>
      <c r="B32" s="3">
        <v>3</v>
      </c>
      <c r="C32" s="12" t="s">
        <v>2</v>
      </c>
      <c r="D32" s="8" t="s">
        <v>89</v>
      </c>
    </row>
    <row r="33" spans="1:4" ht="15.5" x14ac:dyDescent="0.3">
      <c r="A33" s="5" t="s">
        <v>61</v>
      </c>
      <c r="B33" s="3">
        <v>2</v>
      </c>
      <c r="C33" s="12" t="s">
        <v>94</v>
      </c>
      <c r="D33" s="8" t="s">
        <v>89</v>
      </c>
    </row>
    <row r="34" spans="1:4" ht="15.5" x14ac:dyDescent="0.3">
      <c r="A34" s="5" t="s">
        <v>30</v>
      </c>
      <c r="B34" s="3">
        <v>2</v>
      </c>
      <c r="C34" s="12" t="s">
        <v>105</v>
      </c>
      <c r="D34" s="8" t="s">
        <v>89</v>
      </c>
    </row>
    <row r="35" spans="1:4" ht="15.5" x14ac:dyDescent="0.3">
      <c r="A35" s="5" t="s">
        <v>69</v>
      </c>
      <c r="B35" s="3">
        <v>2</v>
      </c>
      <c r="C35" s="12" t="s">
        <v>111</v>
      </c>
      <c r="D35" s="12" t="s">
        <v>89</v>
      </c>
    </row>
    <row r="36" spans="1:4" ht="15.5" x14ac:dyDescent="0.3">
      <c r="A36" s="5" t="s">
        <v>13</v>
      </c>
      <c r="B36" s="3">
        <v>2</v>
      </c>
      <c r="C36" s="12" t="s">
        <v>14</v>
      </c>
      <c r="D36" s="8" t="s">
        <v>89</v>
      </c>
    </row>
    <row r="37" spans="1:4" ht="16" thickBot="1" x14ac:dyDescent="0.35">
      <c r="A37" s="5" t="s">
        <v>39</v>
      </c>
      <c r="B37" s="3">
        <v>1</v>
      </c>
      <c r="C37" s="12" t="s">
        <v>101</v>
      </c>
      <c r="D37" s="8" t="s">
        <v>89</v>
      </c>
    </row>
    <row r="38" spans="1:4" ht="16" thickBot="1" x14ac:dyDescent="0.35">
      <c r="A38" s="5" t="s">
        <v>41</v>
      </c>
      <c r="B38" s="3">
        <v>1</v>
      </c>
      <c r="C38" s="11" t="s">
        <v>101</v>
      </c>
      <c r="D38" s="8" t="s">
        <v>89</v>
      </c>
    </row>
    <row r="39" spans="1:4" ht="16" thickBot="1" x14ac:dyDescent="0.35">
      <c r="A39" s="5" t="s">
        <v>71</v>
      </c>
      <c r="B39" s="3">
        <v>1</v>
      </c>
      <c r="C39" s="11" t="s">
        <v>113</v>
      </c>
      <c r="D39" s="8" t="s">
        <v>89</v>
      </c>
    </row>
    <row r="40" spans="1:4" ht="16" thickBot="1" x14ac:dyDescent="0.35">
      <c r="A40" s="5" t="s">
        <v>55</v>
      </c>
      <c r="B40" s="3">
        <v>1</v>
      </c>
      <c r="C40" s="11" t="s">
        <v>116</v>
      </c>
      <c r="D40" s="8" t="s">
        <v>89</v>
      </c>
    </row>
    <row r="41" spans="1:4" ht="15.5" x14ac:dyDescent="0.3">
      <c r="A41" s="5" t="s">
        <v>63</v>
      </c>
      <c r="B41" s="3">
        <v>3</v>
      </c>
      <c r="C41" s="12" t="s">
        <v>96</v>
      </c>
      <c r="D41" s="8" t="s">
        <v>98</v>
      </c>
    </row>
    <row r="42" spans="1:4" ht="16" thickBot="1" x14ac:dyDescent="0.35">
      <c r="A42" s="5" t="s">
        <v>64</v>
      </c>
      <c r="B42" s="3">
        <v>1</v>
      </c>
      <c r="C42" s="12" t="s">
        <v>99</v>
      </c>
      <c r="D42" s="8" t="s">
        <v>98</v>
      </c>
    </row>
    <row r="43" spans="1:4" ht="16" thickBot="1" x14ac:dyDescent="0.35">
      <c r="A43" s="5" t="s">
        <v>65</v>
      </c>
      <c r="B43" s="3">
        <v>1</v>
      </c>
      <c r="C43" s="11" t="s">
        <v>102</v>
      </c>
      <c r="D43" s="8" t="s">
        <v>98</v>
      </c>
    </row>
    <row r="44" spans="1:4" ht="16" thickBot="1" x14ac:dyDescent="0.35">
      <c r="A44" s="5" t="s">
        <v>42</v>
      </c>
      <c r="B44" s="3">
        <v>1</v>
      </c>
      <c r="C44" s="11" t="s">
        <v>101</v>
      </c>
      <c r="D44" s="8" t="s">
        <v>98</v>
      </c>
    </row>
    <row r="45" spans="1:4" ht="15.5" x14ac:dyDescent="0.3">
      <c r="A45" s="5" t="s">
        <v>52</v>
      </c>
      <c r="B45" s="3">
        <v>1</v>
      </c>
      <c r="C45" s="12" t="s">
        <v>114</v>
      </c>
      <c r="D45" s="8" t="s">
        <v>98</v>
      </c>
    </row>
    <row r="46" spans="1:4" x14ac:dyDescent="0.3">
      <c r="A46" s="5" t="s">
        <v>74</v>
      </c>
      <c r="B46" s="3">
        <v>1</v>
      </c>
      <c r="C46" s="8" t="s">
        <v>118</v>
      </c>
      <c r="D46" s="8" t="s">
        <v>98</v>
      </c>
    </row>
    <row r="47" spans="1:4" ht="15.5" x14ac:dyDescent="0.3">
      <c r="A47" s="5" t="s">
        <v>45</v>
      </c>
      <c r="B47" s="3">
        <v>1</v>
      </c>
      <c r="C47" s="12" t="s">
        <v>110</v>
      </c>
      <c r="D47" s="8" t="s">
        <v>97</v>
      </c>
    </row>
    <row r="48" spans="1:4" x14ac:dyDescent="0.3">
      <c r="B48" s="8">
        <f>SUM(B2:B47)</f>
        <v>82</v>
      </c>
    </row>
  </sheetData>
  <sortState xmlns:xlrd2="http://schemas.microsoft.com/office/spreadsheetml/2017/richdata2" ref="A2:D48">
    <sortCondition ref="D12:D48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BD0A-D50C-442E-8923-35E9F05434AE}">
  <dimension ref="A1:C7"/>
  <sheetViews>
    <sheetView zoomScale="55" zoomScaleNormal="55" workbookViewId="0">
      <selection activeCell="G13" sqref="G13"/>
    </sheetView>
  </sheetViews>
  <sheetFormatPr defaultRowHeight="14" x14ac:dyDescent="0.3"/>
  <cols>
    <col min="2" max="2" width="23.08203125" customWidth="1"/>
    <col min="3" max="3" width="45.75" customWidth="1"/>
  </cols>
  <sheetData>
    <row r="1" spans="1:3" ht="42.5" thickBot="1" x14ac:dyDescent="0.35">
      <c r="A1" s="1" t="s">
        <v>75</v>
      </c>
      <c r="B1" s="1" t="s">
        <v>37</v>
      </c>
      <c r="C1" s="1" t="s">
        <v>76</v>
      </c>
    </row>
    <row r="2" spans="1:3" ht="14.5" thickBot="1" x14ac:dyDescent="0.35">
      <c r="A2" s="1" t="s">
        <v>77</v>
      </c>
      <c r="B2" s="9">
        <v>26</v>
      </c>
      <c r="C2" s="2" t="s">
        <v>78</v>
      </c>
    </row>
    <row r="3" spans="1:3" ht="14.5" thickBot="1" x14ac:dyDescent="0.35">
      <c r="A3" s="1" t="s">
        <v>79</v>
      </c>
      <c r="B3" s="9">
        <v>12</v>
      </c>
      <c r="C3" s="2" t="s">
        <v>80</v>
      </c>
    </row>
    <row r="4" spans="1:3" ht="14.5" thickBot="1" x14ac:dyDescent="0.35">
      <c r="A4" s="1" t="s">
        <v>81</v>
      </c>
      <c r="B4" s="9">
        <v>6</v>
      </c>
      <c r="C4" s="2" t="s">
        <v>82</v>
      </c>
    </row>
    <row r="5" spans="1:3" ht="14.5" thickBot="1" x14ac:dyDescent="0.35">
      <c r="A5" s="1" t="s">
        <v>83</v>
      </c>
      <c r="B5" s="9">
        <v>5</v>
      </c>
      <c r="C5" s="2" t="s">
        <v>23</v>
      </c>
    </row>
    <row r="6" spans="1:3" ht="14.5" thickBot="1" x14ac:dyDescent="0.35">
      <c r="A6" s="1" t="s">
        <v>84</v>
      </c>
      <c r="B6" s="9">
        <v>5</v>
      </c>
      <c r="C6" s="2" t="s">
        <v>85</v>
      </c>
    </row>
    <row r="7" spans="1:3" ht="14.5" thickBot="1" x14ac:dyDescent="0.35">
      <c r="A7" s="1" t="s">
        <v>86</v>
      </c>
      <c r="B7" s="9">
        <v>28</v>
      </c>
      <c r="C7" s="2" t="s">
        <v>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CDCC-A5A8-4B70-9EEF-3D6E2D2BD80E}">
  <dimension ref="A1:C7"/>
  <sheetViews>
    <sheetView workbookViewId="0">
      <selection activeCell="C3" sqref="C3"/>
    </sheetView>
  </sheetViews>
  <sheetFormatPr defaultRowHeight="14" x14ac:dyDescent="0.3"/>
  <cols>
    <col min="1" max="1" width="18.4140625" customWidth="1"/>
    <col min="2" max="2" width="19.4140625" customWidth="1"/>
    <col min="3" max="3" width="17.1640625" customWidth="1"/>
  </cols>
  <sheetData>
    <row r="1" spans="1:3" ht="42.5" thickBot="1" x14ac:dyDescent="0.35">
      <c r="A1" s="1" t="s">
        <v>119</v>
      </c>
      <c r="B1" s="1" t="s">
        <v>58</v>
      </c>
      <c r="C1" s="1" t="s">
        <v>120</v>
      </c>
    </row>
    <row r="2" spans="1:3" ht="28.5" thickBot="1" x14ac:dyDescent="0.35">
      <c r="A2" s="1" t="s">
        <v>121</v>
      </c>
      <c r="B2" s="2">
        <v>37</v>
      </c>
      <c r="C2" s="15">
        <v>0.45100000000000001</v>
      </c>
    </row>
    <row r="3" spans="1:3" ht="28.5" thickBot="1" x14ac:dyDescent="0.35">
      <c r="A3" s="1" t="s">
        <v>122</v>
      </c>
      <c r="B3" s="2">
        <v>26</v>
      </c>
      <c r="C3" s="15">
        <v>0.317</v>
      </c>
    </row>
    <row r="4" spans="1:3" ht="42.5" thickBot="1" x14ac:dyDescent="0.35">
      <c r="A4" s="1" t="s">
        <v>123</v>
      </c>
      <c r="B4" s="2">
        <v>8</v>
      </c>
      <c r="C4" s="15">
        <v>9.8000000000000004E-2</v>
      </c>
    </row>
    <row r="5" spans="1:3" ht="14.5" thickBot="1" x14ac:dyDescent="0.35">
      <c r="A5" s="1" t="s">
        <v>124</v>
      </c>
      <c r="B5" s="2">
        <v>1</v>
      </c>
      <c r="C5" s="15">
        <v>1.2E-2</v>
      </c>
    </row>
    <row r="6" spans="1:3" ht="14.5" thickBot="1" x14ac:dyDescent="0.35">
      <c r="A6" s="1" t="s">
        <v>125</v>
      </c>
      <c r="B6" s="2">
        <v>10</v>
      </c>
      <c r="C6" s="15">
        <v>0.122</v>
      </c>
    </row>
    <row r="7" spans="1:3" ht="14.5" thickBot="1" x14ac:dyDescent="0.35">
      <c r="A7" s="1" t="s">
        <v>126</v>
      </c>
      <c r="B7" s="1">
        <v>82</v>
      </c>
      <c r="C7" s="16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6E66-91BE-4AB5-B482-6161493422D8}">
  <dimension ref="A1:R47"/>
  <sheetViews>
    <sheetView tabSelected="1" topLeftCell="A5" zoomScale="40" zoomScaleNormal="40" workbookViewId="0">
      <selection activeCell="J19" sqref="J19"/>
    </sheetView>
  </sheetViews>
  <sheetFormatPr defaultRowHeight="14" x14ac:dyDescent="0.3"/>
  <cols>
    <col min="1" max="1" width="68.08203125" customWidth="1"/>
    <col min="2" max="2" width="27.9140625" customWidth="1"/>
    <col min="15" max="15" width="3.83203125" customWidth="1"/>
    <col min="16" max="16" width="8.6640625" hidden="1" customWidth="1"/>
    <col min="17" max="17" width="25.6640625" customWidth="1"/>
    <col min="18" max="18" width="22.75" customWidth="1"/>
  </cols>
  <sheetData>
    <row r="1" spans="1:18" s="17" customFormat="1" ht="14.5" thickBot="1" x14ac:dyDescent="0.35">
      <c r="A1" s="1" t="s">
        <v>57</v>
      </c>
      <c r="B1" s="1" t="s">
        <v>58</v>
      </c>
    </row>
    <row r="2" spans="1:18" s="17" customFormat="1" ht="14.5" thickBot="1" x14ac:dyDescent="0.35">
      <c r="A2" s="2" t="s">
        <v>5</v>
      </c>
      <c r="B2" s="2">
        <v>11</v>
      </c>
    </row>
    <row r="3" spans="1:18" s="17" customFormat="1" ht="14.5" thickBot="1" x14ac:dyDescent="0.35">
      <c r="A3" s="2" t="s">
        <v>7</v>
      </c>
      <c r="B3" s="2">
        <v>5</v>
      </c>
    </row>
    <row r="4" spans="1:18" s="17" customFormat="1" ht="14.5" thickBot="1" x14ac:dyDescent="0.35">
      <c r="A4" s="2" t="s">
        <v>103</v>
      </c>
      <c r="B4" s="2">
        <v>4</v>
      </c>
    </row>
    <row r="5" spans="1:18" s="17" customFormat="1" ht="19.5" customHeight="1" thickBot="1" x14ac:dyDescent="0.35">
      <c r="A5" s="2" t="s">
        <v>17</v>
      </c>
      <c r="B5" s="2">
        <v>4</v>
      </c>
    </row>
    <row r="6" spans="1:18" s="17" customFormat="1" ht="14.5" thickBot="1" x14ac:dyDescent="0.35">
      <c r="A6" s="2" t="s">
        <v>59</v>
      </c>
      <c r="B6" s="2">
        <v>3</v>
      </c>
      <c r="Q6" s="1" t="s">
        <v>57</v>
      </c>
      <c r="R6" s="1" t="s">
        <v>58</v>
      </c>
    </row>
    <row r="7" spans="1:18" s="17" customFormat="1" ht="14.5" thickBot="1" x14ac:dyDescent="0.35">
      <c r="A7" s="2" t="s">
        <v>1</v>
      </c>
      <c r="B7" s="2">
        <v>3</v>
      </c>
      <c r="Q7" s="2" t="s">
        <v>127</v>
      </c>
      <c r="R7" s="2">
        <v>1</v>
      </c>
    </row>
    <row r="8" spans="1:18" s="17" customFormat="1" ht="28.5" thickBot="1" x14ac:dyDescent="0.35">
      <c r="A8" s="2" t="s">
        <v>63</v>
      </c>
      <c r="B8" s="2">
        <v>3</v>
      </c>
      <c r="Q8" s="2" t="s">
        <v>11</v>
      </c>
      <c r="R8" s="2">
        <v>2</v>
      </c>
    </row>
    <row r="9" spans="1:18" s="17" customFormat="1" ht="14.5" thickBot="1" x14ac:dyDescent="0.35">
      <c r="A9" s="2" t="s">
        <v>60</v>
      </c>
      <c r="B9" s="2">
        <v>3</v>
      </c>
      <c r="Q9" s="2" t="s">
        <v>62</v>
      </c>
      <c r="R9" s="2">
        <v>2</v>
      </c>
    </row>
    <row r="10" spans="1:18" s="17" customFormat="1" ht="56.5" thickBot="1" x14ac:dyDescent="0.35">
      <c r="A10" s="2" t="s">
        <v>11</v>
      </c>
      <c r="B10" s="2">
        <v>2</v>
      </c>
      <c r="Q10" s="2" t="s">
        <v>43</v>
      </c>
      <c r="R10" s="2">
        <v>2</v>
      </c>
    </row>
    <row r="11" spans="1:18" s="17" customFormat="1" ht="42.5" thickBot="1" x14ac:dyDescent="0.35">
      <c r="A11" s="2" t="s">
        <v>62</v>
      </c>
      <c r="B11" s="2">
        <v>2</v>
      </c>
      <c r="Q11" s="2" t="s">
        <v>3</v>
      </c>
      <c r="R11" s="2">
        <v>2</v>
      </c>
    </row>
    <row r="12" spans="1:18" s="17" customFormat="1" ht="28.5" thickBot="1" x14ac:dyDescent="0.35">
      <c r="A12" s="2" t="s">
        <v>43</v>
      </c>
      <c r="B12" s="2">
        <v>2</v>
      </c>
      <c r="Q12" s="2" t="s">
        <v>67</v>
      </c>
      <c r="R12" s="2">
        <v>2</v>
      </c>
    </row>
    <row r="13" spans="1:18" s="17" customFormat="1" ht="56.5" thickBot="1" x14ac:dyDescent="0.35">
      <c r="A13" s="2" t="s">
        <v>3</v>
      </c>
      <c r="B13" s="2">
        <v>2</v>
      </c>
      <c r="Q13" s="2" t="s">
        <v>61</v>
      </c>
      <c r="R13" s="2">
        <v>2</v>
      </c>
    </row>
    <row r="14" spans="1:18" s="17" customFormat="1" ht="28.5" thickBot="1" x14ac:dyDescent="0.35">
      <c r="A14" s="2" t="s">
        <v>67</v>
      </c>
      <c r="B14" s="2">
        <v>2</v>
      </c>
      <c r="Q14" s="2" t="s">
        <v>30</v>
      </c>
      <c r="R14" s="2">
        <v>2</v>
      </c>
    </row>
    <row r="15" spans="1:18" s="17" customFormat="1" ht="28.5" thickBot="1" x14ac:dyDescent="0.35">
      <c r="A15" s="2" t="s">
        <v>61</v>
      </c>
      <c r="B15" s="2">
        <v>2</v>
      </c>
      <c r="Q15" s="2" t="s">
        <v>69</v>
      </c>
      <c r="R15" s="2">
        <v>2</v>
      </c>
    </row>
    <row r="16" spans="1:18" s="17" customFormat="1" ht="42.5" thickBot="1" x14ac:dyDescent="0.35">
      <c r="A16" s="2" t="s">
        <v>30</v>
      </c>
      <c r="B16" s="2">
        <v>2</v>
      </c>
      <c r="Q16" s="2" t="s">
        <v>13</v>
      </c>
      <c r="R16" s="2">
        <v>2</v>
      </c>
    </row>
    <row r="17" spans="1:18" s="17" customFormat="1" ht="42.5" thickBot="1" x14ac:dyDescent="0.35">
      <c r="A17" s="2" t="s">
        <v>69</v>
      </c>
      <c r="B17" s="2">
        <v>2</v>
      </c>
      <c r="Q17" s="2" t="s">
        <v>59</v>
      </c>
      <c r="R17" s="2">
        <v>3</v>
      </c>
    </row>
    <row r="18" spans="1:18" s="17" customFormat="1" ht="28.5" thickBot="1" x14ac:dyDescent="0.35">
      <c r="A18" s="2" t="s">
        <v>13</v>
      </c>
      <c r="B18" s="2">
        <v>2</v>
      </c>
      <c r="Q18" s="2" t="s">
        <v>1</v>
      </c>
      <c r="R18" s="2">
        <v>3</v>
      </c>
    </row>
    <row r="19" spans="1:18" s="17" customFormat="1" ht="56.5" thickBot="1" x14ac:dyDescent="0.35">
      <c r="A19" s="2" t="s">
        <v>15</v>
      </c>
      <c r="B19" s="2">
        <v>1</v>
      </c>
      <c r="Q19" s="2" t="s">
        <v>63</v>
      </c>
      <c r="R19" s="2">
        <v>3</v>
      </c>
    </row>
    <row r="20" spans="1:18" s="17" customFormat="1" ht="28.5" thickBot="1" x14ac:dyDescent="0.35">
      <c r="A20" s="2" t="s">
        <v>38</v>
      </c>
      <c r="B20" s="2">
        <v>1</v>
      </c>
      <c r="Q20" s="2" t="s">
        <v>60</v>
      </c>
      <c r="R20" s="2">
        <v>3</v>
      </c>
    </row>
    <row r="21" spans="1:18" s="17" customFormat="1" ht="14.5" thickBot="1" x14ac:dyDescent="0.35">
      <c r="A21" s="2" t="s">
        <v>9</v>
      </c>
      <c r="B21" s="2">
        <v>1</v>
      </c>
      <c r="Q21" s="2" t="s">
        <v>103</v>
      </c>
      <c r="R21" s="2">
        <v>4</v>
      </c>
    </row>
    <row r="22" spans="1:18" s="17" customFormat="1" ht="56.5" thickBot="1" x14ac:dyDescent="0.35">
      <c r="A22" s="2" t="s">
        <v>44</v>
      </c>
      <c r="B22" s="2">
        <v>1</v>
      </c>
      <c r="Q22" s="2" t="s">
        <v>17</v>
      </c>
      <c r="R22" s="2">
        <v>4</v>
      </c>
    </row>
    <row r="23" spans="1:18" s="17" customFormat="1" ht="14.5" thickBot="1" x14ac:dyDescent="0.35">
      <c r="A23" s="2" t="s">
        <v>68</v>
      </c>
      <c r="B23" s="2">
        <v>1</v>
      </c>
      <c r="Q23" s="2" t="s">
        <v>7</v>
      </c>
      <c r="R23" s="2">
        <v>5</v>
      </c>
    </row>
    <row r="24" spans="1:18" s="17" customFormat="1" ht="14.5" thickBot="1" x14ac:dyDescent="0.35">
      <c r="A24" s="2" t="s">
        <v>70</v>
      </c>
      <c r="B24" s="2">
        <v>1</v>
      </c>
      <c r="Q24" s="2" t="s">
        <v>5</v>
      </c>
      <c r="R24" s="2">
        <v>11</v>
      </c>
    </row>
    <row r="25" spans="1:18" s="17" customFormat="1" ht="14.5" thickBot="1" x14ac:dyDescent="0.35">
      <c r="A25" s="2" t="s">
        <v>72</v>
      </c>
      <c r="B25" s="2">
        <v>1</v>
      </c>
    </row>
    <row r="26" spans="1:18" s="17" customFormat="1" ht="14.5" thickBot="1" x14ac:dyDescent="0.35">
      <c r="A26" s="2" t="s">
        <v>56</v>
      </c>
      <c r="B26" s="2">
        <v>1</v>
      </c>
    </row>
    <row r="27" spans="1:18" s="17" customFormat="1" ht="14.5" thickBot="1" x14ac:dyDescent="0.35">
      <c r="A27" s="2" t="s">
        <v>39</v>
      </c>
      <c r="B27" s="2">
        <v>1</v>
      </c>
    </row>
    <row r="28" spans="1:18" s="17" customFormat="1" ht="14.5" thickBot="1" x14ac:dyDescent="0.35">
      <c r="A28" s="2" t="s">
        <v>41</v>
      </c>
      <c r="B28" s="2">
        <v>1</v>
      </c>
    </row>
    <row r="29" spans="1:18" s="17" customFormat="1" ht="14.5" thickBot="1" x14ac:dyDescent="0.35">
      <c r="A29" s="2" t="s">
        <v>71</v>
      </c>
      <c r="B29" s="2">
        <v>1</v>
      </c>
    </row>
    <row r="30" spans="1:18" s="17" customFormat="1" ht="14.5" thickBot="1" x14ac:dyDescent="0.35">
      <c r="A30" s="2" t="s">
        <v>55</v>
      </c>
      <c r="B30" s="2">
        <v>1</v>
      </c>
    </row>
    <row r="31" spans="1:18" s="17" customFormat="1" ht="14.5" thickBot="1" x14ac:dyDescent="0.35">
      <c r="A31" s="2" t="s">
        <v>64</v>
      </c>
      <c r="B31" s="2">
        <v>1</v>
      </c>
    </row>
    <row r="32" spans="1:18" s="17" customFormat="1" ht="14.5" thickBot="1" x14ac:dyDescent="0.35">
      <c r="A32" s="2" t="s">
        <v>65</v>
      </c>
      <c r="B32" s="2">
        <v>1</v>
      </c>
    </row>
    <row r="33" spans="1:2" s="17" customFormat="1" ht="14.5" thickBot="1" x14ac:dyDescent="0.35">
      <c r="A33" s="2" t="s">
        <v>42</v>
      </c>
      <c r="B33" s="2">
        <v>1</v>
      </c>
    </row>
    <row r="34" spans="1:2" s="17" customFormat="1" ht="14.5" thickBot="1" x14ac:dyDescent="0.35">
      <c r="A34" s="2" t="s">
        <v>52</v>
      </c>
      <c r="B34" s="2">
        <v>1</v>
      </c>
    </row>
    <row r="35" spans="1:2" s="17" customFormat="1" ht="14.5" thickBot="1" x14ac:dyDescent="0.35">
      <c r="A35" s="2" t="s">
        <v>74</v>
      </c>
      <c r="B35" s="2">
        <v>1</v>
      </c>
    </row>
    <row r="36" spans="1:2" s="17" customFormat="1" ht="14.5" thickBot="1" x14ac:dyDescent="0.35">
      <c r="A36" s="2" t="s">
        <v>45</v>
      </c>
      <c r="B36" s="2">
        <v>1</v>
      </c>
    </row>
    <row r="37" spans="1:2" s="17" customFormat="1" ht="14.5" thickBot="1" x14ac:dyDescent="0.35">
      <c r="A37" s="2" t="s">
        <v>40</v>
      </c>
      <c r="B37" s="2">
        <v>1</v>
      </c>
    </row>
    <row r="38" spans="1:2" s="17" customFormat="1" ht="14.5" thickBot="1" x14ac:dyDescent="0.35">
      <c r="A38" s="2" t="s">
        <v>46</v>
      </c>
      <c r="B38" s="2">
        <v>1</v>
      </c>
    </row>
    <row r="39" spans="1:2" s="17" customFormat="1" ht="14.5" thickBot="1" x14ac:dyDescent="0.35">
      <c r="A39" s="2" t="s">
        <v>47</v>
      </c>
      <c r="B39" s="2">
        <v>1</v>
      </c>
    </row>
    <row r="40" spans="1:2" s="17" customFormat="1" ht="14.5" thickBot="1" x14ac:dyDescent="0.35">
      <c r="A40" s="2" t="s">
        <v>48</v>
      </c>
      <c r="B40" s="2">
        <v>1</v>
      </c>
    </row>
    <row r="41" spans="1:2" s="17" customFormat="1" ht="28.5" thickBot="1" x14ac:dyDescent="0.35">
      <c r="A41" s="2" t="s">
        <v>49</v>
      </c>
      <c r="B41" s="2">
        <v>1</v>
      </c>
    </row>
    <row r="42" spans="1:2" s="17" customFormat="1" ht="14.5" thickBot="1" x14ac:dyDescent="0.35">
      <c r="A42" s="2" t="s">
        <v>50</v>
      </c>
      <c r="B42" s="2">
        <v>1</v>
      </c>
    </row>
    <row r="43" spans="1:2" s="17" customFormat="1" ht="14.5" thickBot="1" x14ac:dyDescent="0.35">
      <c r="A43" s="2" t="s">
        <v>51</v>
      </c>
      <c r="B43" s="2">
        <v>1</v>
      </c>
    </row>
    <row r="44" spans="1:2" s="17" customFormat="1" ht="14.5" thickBot="1" x14ac:dyDescent="0.35">
      <c r="A44" s="2" t="s">
        <v>53</v>
      </c>
      <c r="B44" s="2">
        <v>1</v>
      </c>
    </row>
    <row r="45" spans="1:2" s="17" customFormat="1" ht="28.5" thickBot="1" x14ac:dyDescent="0.35">
      <c r="A45" s="2" t="s">
        <v>54</v>
      </c>
      <c r="B45" s="2">
        <v>1</v>
      </c>
    </row>
    <row r="46" spans="1:2" s="17" customFormat="1" ht="14.5" thickBot="1" x14ac:dyDescent="0.35">
      <c r="A46" s="2" t="s">
        <v>73</v>
      </c>
      <c r="B46" s="2">
        <v>1</v>
      </c>
    </row>
    <row r="47" spans="1:2" ht="14.5" thickBot="1" x14ac:dyDescent="0.35">
      <c r="A47" s="1" t="s">
        <v>126</v>
      </c>
      <c r="B47" s="1">
        <v>82</v>
      </c>
    </row>
  </sheetData>
  <sortState xmlns:xlrd2="http://schemas.microsoft.com/office/spreadsheetml/2017/richdata2" ref="Q7:R24">
    <sortCondition ref="R7:R2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533B-AB61-4A3E-AFC5-79FEFE808565}">
  <dimension ref="A1:R83"/>
  <sheetViews>
    <sheetView topLeftCell="C5" zoomScale="70" zoomScaleNormal="70" workbookViewId="0">
      <selection activeCell="P14" sqref="P14:Q19"/>
    </sheetView>
  </sheetViews>
  <sheetFormatPr defaultRowHeight="14" x14ac:dyDescent="0.3"/>
  <cols>
    <col min="1" max="1" width="14" customWidth="1"/>
    <col min="2" max="2" width="28.9140625" customWidth="1"/>
    <col min="3" max="3" width="5.9140625" customWidth="1"/>
  </cols>
  <sheetData>
    <row r="1" spans="1:18" x14ac:dyDescent="0.3">
      <c r="A1" t="s">
        <v>128</v>
      </c>
      <c r="B1" t="s">
        <v>129</v>
      </c>
      <c r="C1" t="s">
        <v>130</v>
      </c>
    </row>
    <row r="2" spans="1:18" x14ac:dyDescent="0.3">
      <c r="A2">
        <v>2021</v>
      </c>
      <c r="B2" t="s">
        <v>131</v>
      </c>
      <c r="C2" t="s">
        <v>25</v>
      </c>
    </row>
    <row r="3" spans="1:18" x14ac:dyDescent="0.3">
      <c r="A3">
        <v>2021</v>
      </c>
      <c r="B3" t="s">
        <v>163</v>
      </c>
      <c r="C3" t="s">
        <v>164</v>
      </c>
    </row>
    <row r="4" spans="1:18" x14ac:dyDescent="0.3">
      <c r="A4">
        <v>2021</v>
      </c>
      <c r="B4" t="s">
        <v>167</v>
      </c>
      <c r="C4" t="s">
        <v>168</v>
      </c>
    </row>
    <row r="5" spans="1:18" x14ac:dyDescent="0.3">
      <c r="A5">
        <v>2021</v>
      </c>
      <c r="B5" t="s">
        <v>169</v>
      </c>
      <c r="C5" t="s">
        <v>170</v>
      </c>
    </row>
    <row r="6" spans="1:18" x14ac:dyDescent="0.3">
      <c r="A6">
        <v>2021</v>
      </c>
      <c r="B6" t="s">
        <v>171</v>
      </c>
      <c r="C6" t="s">
        <v>172</v>
      </c>
    </row>
    <row r="7" spans="1:18" x14ac:dyDescent="0.3">
      <c r="A7">
        <v>2021</v>
      </c>
      <c r="B7" t="s">
        <v>177</v>
      </c>
      <c r="C7" t="s">
        <v>28</v>
      </c>
    </row>
    <row r="8" spans="1:18" x14ac:dyDescent="0.3">
      <c r="A8">
        <v>2021</v>
      </c>
      <c r="B8" t="s">
        <v>202</v>
      </c>
      <c r="C8" t="s">
        <v>203</v>
      </c>
    </row>
    <row r="9" spans="1:18" x14ac:dyDescent="0.3">
      <c r="A9">
        <v>2021</v>
      </c>
      <c r="B9" t="s">
        <v>221</v>
      </c>
      <c r="C9" t="s">
        <v>222</v>
      </c>
    </row>
    <row r="10" spans="1:18" x14ac:dyDescent="0.3">
      <c r="A10">
        <v>2021</v>
      </c>
      <c r="B10" t="s">
        <v>227</v>
      </c>
      <c r="C10" t="s">
        <v>35</v>
      </c>
    </row>
    <row r="11" spans="1:18" x14ac:dyDescent="0.3">
      <c r="A11">
        <v>2021</v>
      </c>
      <c r="B11" t="s">
        <v>258</v>
      </c>
      <c r="C11" t="s">
        <v>259</v>
      </c>
    </row>
    <row r="12" spans="1:18" x14ac:dyDescent="0.3">
      <c r="A12">
        <v>2022</v>
      </c>
      <c r="B12" t="s">
        <v>141</v>
      </c>
      <c r="C12" t="s">
        <v>142</v>
      </c>
    </row>
    <row r="13" spans="1:18" x14ac:dyDescent="0.3">
      <c r="A13">
        <v>2022</v>
      </c>
      <c r="B13" t="s">
        <v>147</v>
      </c>
      <c r="C13" t="s">
        <v>148</v>
      </c>
    </row>
    <row r="14" spans="1:18" x14ac:dyDescent="0.3">
      <c r="A14">
        <v>2022</v>
      </c>
      <c r="B14" t="s">
        <v>190</v>
      </c>
      <c r="C14" t="s">
        <v>191</v>
      </c>
      <c r="P14" t="s">
        <v>278</v>
      </c>
      <c r="Q14" t="s">
        <v>279</v>
      </c>
      <c r="R14" t="s">
        <v>280</v>
      </c>
    </row>
    <row r="15" spans="1:18" x14ac:dyDescent="0.3">
      <c r="A15">
        <v>2022</v>
      </c>
      <c r="B15" t="s">
        <v>200</v>
      </c>
      <c r="C15" t="s">
        <v>201</v>
      </c>
      <c r="P15">
        <v>2021</v>
      </c>
      <c r="Q15">
        <v>10</v>
      </c>
      <c r="R15">
        <f xml:space="preserve"> (Q15/Q20)*100</f>
        <v>12.195121951219512</v>
      </c>
    </row>
    <row r="16" spans="1:18" x14ac:dyDescent="0.3">
      <c r="A16">
        <v>2022</v>
      </c>
      <c r="B16" t="s">
        <v>225</v>
      </c>
      <c r="C16" t="s">
        <v>226</v>
      </c>
      <c r="P16">
        <v>2022</v>
      </c>
      <c r="Q16">
        <v>9</v>
      </c>
      <c r="R16">
        <f xml:space="preserve"> (Q16/Q20)*100</f>
        <v>10.975609756097562</v>
      </c>
    </row>
    <row r="17" spans="1:18" x14ac:dyDescent="0.3">
      <c r="A17">
        <v>2022</v>
      </c>
      <c r="B17" t="s">
        <v>228</v>
      </c>
      <c r="C17" t="s">
        <v>229</v>
      </c>
      <c r="P17">
        <v>2023</v>
      </c>
      <c r="Q17">
        <v>16</v>
      </c>
      <c r="R17">
        <f xml:space="preserve"> (Q17/Q20)*100</f>
        <v>19.512195121951219</v>
      </c>
    </row>
    <row r="18" spans="1:18" x14ac:dyDescent="0.3">
      <c r="A18">
        <v>2022</v>
      </c>
      <c r="B18" t="s">
        <v>234</v>
      </c>
      <c r="C18" t="s">
        <v>235</v>
      </c>
      <c r="P18">
        <v>2024</v>
      </c>
      <c r="Q18">
        <v>22</v>
      </c>
      <c r="R18">
        <f xml:space="preserve"> (Q18/Q20)*100</f>
        <v>26.829268292682929</v>
      </c>
    </row>
    <row r="19" spans="1:18" x14ac:dyDescent="0.3">
      <c r="A19">
        <v>2022</v>
      </c>
      <c r="B19" t="s">
        <v>244</v>
      </c>
      <c r="C19" t="s">
        <v>245</v>
      </c>
      <c r="P19">
        <v>2025</v>
      </c>
      <c r="Q19">
        <v>25</v>
      </c>
      <c r="R19">
        <f xml:space="preserve"> (Q19/Q20)*100</f>
        <v>30.487804878048781</v>
      </c>
    </row>
    <row r="20" spans="1:18" x14ac:dyDescent="0.3">
      <c r="A20">
        <v>2022</v>
      </c>
      <c r="B20" t="s">
        <v>275</v>
      </c>
      <c r="C20" t="s">
        <v>276</v>
      </c>
      <c r="Q20">
        <f>SUM(Q15:Q19)</f>
        <v>82</v>
      </c>
    </row>
    <row r="21" spans="1:18" x14ac:dyDescent="0.3">
      <c r="A21">
        <v>2023</v>
      </c>
      <c r="B21" t="s">
        <v>135</v>
      </c>
      <c r="C21" t="s">
        <v>19</v>
      </c>
    </row>
    <row r="22" spans="1:18" x14ac:dyDescent="0.3">
      <c r="A22">
        <v>2023</v>
      </c>
      <c r="B22" t="s">
        <v>136</v>
      </c>
      <c r="C22" t="s">
        <v>34</v>
      </c>
    </row>
    <row r="23" spans="1:18" x14ac:dyDescent="0.3">
      <c r="A23">
        <v>2023</v>
      </c>
      <c r="B23" t="s">
        <v>143</v>
      </c>
      <c r="C23" t="s">
        <v>144</v>
      </c>
    </row>
    <row r="24" spans="1:18" x14ac:dyDescent="0.3">
      <c r="A24">
        <v>2023</v>
      </c>
      <c r="B24" t="s">
        <v>166</v>
      </c>
      <c r="C24" t="s">
        <v>33</v>
      </c>
    </row>
    <row r="25" spans="1:18" x14ac:dyDescent="0.3">
      <c r="A25">
        <v>2023</v>
      </c>
      <c r="B25" t="s">
        <v>178</v>
      </c>
      <c r="C25" t="s">
        <v>179</v>
      </c>
    </row>
    <row r="26" spans="1:18" x14ac:dyDescent="0.3">
      <c r="A26">
        <v>2023</v>
      </c>
      <c r="B26" t="s">
        <v>182</v>
      </c>
      <c r="C26" t="s">
        <v>183</v>
      </c>
    </row>
    <row r="27" spans="1:18" x14ac:dyDescent="0.3">
      <c r="A27">
        <v>2023</v>
      </c>
      <c r="B27" t="s">
        <v>188</v>
      </c>
      <c r="C27" t="s">
        <v>189</v>
      </c>
    </row>
    <row r="28" spans="1:18" x14ac:dyDescent="0.3">
      <c r="A28">
        <v>2023</v>
      </c>
      <c r="B28" t="s">
        <v>196</v>
      </c>
      <c r="C28" t="s">
        <v>27</v>
      </c>
    </row>
    <row r="29" spans="1:18" x14ac:dyDescent="0.3">
      <c r="A29">
        <v>2023</v>
      </c>
      <c r="B29" t="s">
        <v>206</v>
      </c>
      <c r="C29" t="s">
        <v>207</v>
      </c>
    </row>
    <row r="30" spans="1:18" x14ac:dyDescent="0.3">
      <c r="A30">
        <v>2023</v>
      </c>
      <c r="B30" t="s">
        <v>213</v>
      </c>
      <c r="C30" t="s">
        <v>214</v>
      </c>
    </row>
    <row r="31" spans="1:18" x14ac:dyDescent="0.3">
      <c r="A31">
        <v>2023</v>
      </c>
      <c r="B31" t="s">
        <v>219</v>
      </c>
      <c r="C31" t="s">
        <v>220</v>
      </c>
    </row>
    <row r="32" spans="1:18" x14ac:dyDescent="0.3">
      <c r="A32">
        <v>2023</v>
      </c>
      <c r="B32" t="s">
        <v>242</v>
      </c>
      <c r="C32" t="s">
        <v>243</v>
      </c>
    </row>
    <row r="33" spans="1:3" x14ac:dyDescent="0.3">
      <c r="A33">
        <v>2023</v>
      </c>
      <c r="B33" t="s">
        <v>248</v>
      </c>
      <c r="C33" t="s">
        <v>249</v>
      </c>
    </row>
    <row r="34" spans="1:3" x14ac:dyDescent="0.3">
      <c r="A34">
        <v>2023</v>
      </c>
      <c r="B34" t="s">
        <v>250</v>
      </c>
      <c r="C34" t="s">
        <v>251</v>
      </c>
    </row>
    <row r="35" spans="1:3" x14ac:dyDescent="0.3">
      <c r="A35">
        <v>2023</v>
      </c>
      <c r="B35" t="s">
        <v>252</v>
      </c>
      <c r="C35" t="s">
        <v>36</v>
      </c>
    </row>
    <row r="36" spans="1:3" x14ac:dyDescent="0.3">
      <c r="A36">
        <v>2023</v>
      </c>
      <c r="B36" t="s">
        <v>264</v>
      </c>
      <c r="C36" t="s">
        <v>265</v>
      </c>
    </row>
    <row r="37" spans="1:3" x14ac:dyDescent="0.3">
      <c r="A37">
        <v>2024</v>
      </c>
      <c r="B37" t="s">
        <v>132</v>
      </c>
      <c r="C37" t="s">
        <v>31</v>
      </c>
    </row>
    <row r="38" spans="1:3" x14ac:dyDescent="0.3">
      <c r="A38">
        <v>2024</v>
      </c>
      <c r="B38" t="s">
        <v>137</v>
      </c>
      <c r="C38" t="s">
        <v>138</v>
      </c>
    </row>
    <row r="39" spans="1:3" x14ac:dyDescent="0.3">
      <c r="A39">
        <v>2024</v>
      </c>
      <c r="B39" t="s">
        <v>139</v>
      </c>
      <c r="C39" t="s">
        <v>140</v>
      </c>
    </row>
    <row r="40" spans="1:3" x14ac:dyDescent="0.3">
      <c r="A40">
        <v>2024</v>
      </c>
      <c r="B40" t="s">
        <v>145</v>
      </c>
      <c r="C40" t="s">
        <v>146</v>
      </c>
    </row>
    <row r="41" spans="1:3" x14ac:dyDescent="0.3">
      <c r="A41">
        <v>2024</v>
      </c>
      <c r="B41" t="s">
        <v>149</v>
      </c>
      <c r="C41" t="s">
        <v>150</v>
      </c>
    </row>
    <row r="42" spans="1:3" x14ac:dyDescent="0.3">
      <c r="A42">
        <v>2024</v>
      </c>
      <c r="B42" t="s">
        <v>159</v>
      </c>
      <c r="C42" t="s">
        <v>29</v>
      </c>
    </row>
    <row r="43" spans="1:3" x14ac:dyDescent="0.3">
      <c r="A43">
        <v>2024</v>
      </c>
      <c r="B43" t="s">
        <v>165</v>
      </c>
      <c r="C43" t="s">
        <v>26</v>
      </c>
    </row>
    <row r="44" spans="1:3" x14ac:dyDescent="0.3">
      <c r="A44">
        <v>2024</v>
      </c>
      <c r="B44" t="s">
        <v>180</v>
      </c>
      <c r="C44" t="s">
        <v>181</v>
      </c>
    </row>
    <row r="45" spans="1:3" x14ac:dyDescent="0.3">
      <c r="A45">
        <v>2024</v>
      </c>
      <c r="B45" t="s">
        <v>184</v>
      </c>
      <c r="C45" t="s">
        <v>185</v>
      </c>
    </row>
    <row r="46" spans="1:3" x14ac:dyDescent="0.3">
      <c r="A46">
        <v>2024</v>
      </c>
      <c r="B46" t="s">
        <v>186</v>
      </c>
      <c r="C46" t="s">
        <v>187</v>
      </c>
    </row>
    <row r="47" spans="1:3" x14ac:dyDescent="0.3">
      <c r="A47">
        <v>2024</v>
      </c>
      <c r="B47" t="s">
        <v>194</v>
      </c>
      <c r="C47" t="s">
        <v>195</v>
      </c>
    </row>
    <row r="48" spans="1:3" x14ac:dyDescent="0.3">
      <c r="A48">
        <v>2024</v>
      </c>
      <c r="B48" t="s">
        <v>204</v>
      </c>
      <c r="C48" t="s">
        <v>205</v>
      </c>
    </row>
    <row r="49" spans="1:3" x14ac:dyDescent="0.3">
      <c r="A49">
        <v>2024</v>
      </c>
      <c r="B49" t="s">
        <v>208</v>
      </c>
      <c r="C49" t="s">
        <v>209</v>
      </c>
    </row>
    <row r="50" spans="1:3" x14ac:dyDescent="0.3">
      <c r="A50">
        <v>2024</v>
      </c>
      <c r="B50" t="s">
        <v>212</v>
      </c>
      <c r="C50" t="s">
        <v>21</v>
      </c>
    </row>
    <row r="51" spans="1:3" x14ac:dyDescent="0.3">
      <c r="A51">
        <v>2024</v>
      </c>
      <c r="B51" t="s">
        <v>215</v>
      </c>
      <c r="C51" t="s">
        <v>216</v>
      </c>
    </row>
    <row r="52" spans="1:3" x14ac:dyDescent="0.3">
      <c r="A52">
        <v>2024</v>
      </c>
      <c r="B52" t="s">
        <v>217</v>
      </c>
      <c r="C52" t="s">
        <v>218</v>
      </c>
    </row>
    <row r="53" spans="1:3" x14ac:dyDescent="0.3">
      <c r="A53">
        <v>2024</v>
      </c>
      <c r="B53" t="s">
        <v>238</v>
      </c>
      <c r="C53" t="s">
        <v>239</v>
      </c>
    </row>
    <row r="54" spans="1:3" x14ac:dyDescent="0.3">
      <c r="A54">
        <v>2024</v>
      </c>
      <c r="B54" t="s">
        <v>240</v>
      </c>
      <c r="C54" t="s">
        <v>257</v>
      </c>
    </row>
    <row r="55" spans="1:3" x14ac:dyDescent="0.3">
      <c r="A55">
        <v>2024</v>
      </c>
      <c r="B55" t="s">
        <v>262</v>
      </c>
      <c r="C55" t="s">
        <v>263</v>
      </c>
    </row>
    <row r="56" spans="1:3" x14ac:dyDescent="0.3">
      <c r="A56">
        <v>2024</v>
      </c>
      <c r="B56" t="s">
        <v>267</v>
      </c>
      <c r="C56" t="s">
        <v>268</v>
      </c>
    </row>
    <row r="57" spans="1:3" x14ac:dyDescent="0.3">
      <c r="A57">
        <v>2024</v>
      </c>
      <c r="B57" t="s">
        <v>269</v>
      </c>
      <c r="C57" t="s">
        <v>270</v>
      </c>
    </row>
    <row r="58" spans="1:3" x14ac:dyDescent="0.3">
      <c r="A58">
        <v>2024</v>
      </c>
      <c r="B58" t="s">
        <v>277</v>
      </c>
      <c r="C58" t="s">
        <v>32</v>
      </c>
    </row>
    <row r="59" spans="1:3" x14ac:dyDescent="0.3">
      <c r="A59">
        <v>2025</v>
      </c>
      <c r="B59" t="s">
        <v>133</v>
      </c>
      <c r="C59" t="s">
        <v>134</v>
      </c>
    </row>
    <row r="60" spans="1:3" x14ac:dyDescent="0.3">
      <c r="A60">
        <v>2025</v>
      </c>
      <c r="B60" t="s">
        <v>153</v>
      </c>
      <c r="C60" t="s">
        <v>154</v>
      </c>
    </row>
    <row r="61" spans="1:3" x14ac:dyDescent="0.3">
      <c r="A61">
        <v>2025</v>
      </c>
      <c r="B61" t="s">
        <v>155</v>
      </c>
      <c r="C61" t="s">
        <v>156</v>
      </c>
    </row>
    <row r="62" spans="1:3" x14ac:dyDescent="0.3">
      <c r="A62">
        <v>2025</v>
      </c>
      <c r="B62" t="s">
        <v>157</v>
      </c>
      <c r="C62" t="s">
        <v>158</v>
      </c>
    </row>
    <row r="63" spans="1:3" x14ac:dyDescent="0.3">
      <c r="A63">
        <v>2025</v>
      </c>
      <c r="B63" t="s">
        <v>160</v>
      </c>
      <c r="C63" t="s">
        <v>161</v>
      </c>
    </row>
    <row r="64" spans="1:3" x14ac:dyDescent="0.3">
      <c r="A64">
        <v>2025</v>
      </c>
      <c r="B64" t="s">
        <v>162</v>
      </c>
      <c r="C64" t="s">
        <v>24</v>
      </c>
    </row>
    <row r="65" spans="1:3" x14ac:dyDescent="0.3">
      <c r="A65">
        <v>2025</v>
      </c>
      <c r="B65" t="s">
        <v>173</v>
      </c>
      <c r="C65" t="s">
        <v>174</v>
      </c>
    </row>
    <row r="66" spans="1:3" x14ac:dyDescent="0.3">
      <c r="A66">
        <v>2025</v>
      </c>
      <c r="B66" t="s">
        <v>175</v>
      </c>
      <c r="C66" t="s">
        <v>176</v>
      </c>
    </row>
    <row r="67" spans="1:3" x14ac:dyDescent="0.3">
      <c r="A67">
        <v>2025</v>
      </c>
      <c r="B67" t="s">
        <v>192</v>
      </c>
      <c r="C67" t="s">
        <v>193</v>
      </c>
    </row>
    <row r="68" spans="1:3" x14ac:dyDescent="0.3">
      <c r="A68">
        <v>2025</v>
      </c>
      <c r="B68" t="s">
        <v>197</v>
      </c>
      <c r="C68" t="s">
        <v>20</v>
      </c>
    </row>
    <row r="69" spans="1:3" x14ac:dyDescent="0.3">
      <c r="A69">
        <v>2025</v>
      </c>
      <c r="B69" t="s">
        <v>198</v>
      </c>
      <c r="C69" t="s">
        <v>199</v>
      </c>
    </row>
    <row r="70" spans="1:3" x14ac:dyDescent="0.3">
      <c r="A70">
        <v>2025</v>
      </c>
      <c r="B70" t="s">
        <v>210</v>
      </c>
      <c r="C70" t="s">
        <v>211</v>
      </c>
    </row>
    <row r="71" spans="1:3" x14ac:dyDescent="0.3">
      <c r="A71">
        <v>2025</v>
      </c>
      <c r="B71" t="s">
        <v>223</v>
      </c>
      <c r="C71" t="s">
        <v>224</v>
      </c>
    </row>
    <row r="72" spans="1:3" x14ac:dyDescent="0.3">
      <c r="A72">
        <v>2025</v>
      </c>
      <c r="B72" t="s">
        <v>230</v>
      </c>
      <c r="C72" t="s">
        <v>231</v>
      </c>
    </row>
    <row r="73" spans="1:3" x14ac:dyDescent="0.3">
      <c r="A73">
        <v>2025</v>
      </c>
      <c r="B73" t="s">
        <v>232</v>
      </c>
      <c r="C73" t="s">
        <v>233</v>
      </c>
    </row>
    <row r="74" spans="1:3" x14ac:dyDescent="0.3">
      <c r="A74">
        <v>2025</v>
      </c>
      <c r="B74" t="s">
        <v>236</v>
      </c>
      <c r="C74" t="s">
        <v>237</v>
      </c>
    </row>
    <row r="75" spans="1:3" x14ac:dyDescent="0.3">
      <c r="A75">
        <v>2025</v>
      </c>
      <c r="B75" t="s">
        <v>240</v>
      </c>
      <c r="C75" t="s">
        <v>241</v>
      </c>
    </row>
    <row r="76" spans="1:3" x14ac:dyDescent="0.3">
      <c r="A76">
        <v>2025</v>
      </c>
      <c r="B76" t="s">
        <v>246</v>
      </c>
      <c r="C76" t="s">
        <v>247</v>
      </c>
    </row>
    <row r="77" spans="1:3" x14ac:dyDescent="0.3">
      <c r="A77">
        <v>2025</v>
      </c>
      <c r="B77" t="s">
        <v>253</v>
      </c>
      <c r="C77" t="s">
        <v>254</v>
      </c>
    </row>
    <row r="78" spans="1:3" x14ac:dyDescent="0.3">
      <c r="A78">
        <v>2025</v>
      </c>
      <c r="B78" t="s">
        <v>255</v>
      </c>
      <c r="C78" t="s">
        <v>256</v>
      </c>
    </row>
    <row r="79" spans="1:3" x14ac:dyDescent="0.3">
      <c r="A79">
        <v>2025</v>
      </c>
      <c r="B79" t="s">
        <v>260</v>
      </c>
      <c r="C79" t="s">
        <v>261</v>
      </c>
    </row>
    <row r="80" spans="1:3" x14ac:dyDescent="0.3">
      <c r="A80">
        <v>2025</v>
      </c>
      <c r="B80" t="s">
        <v>266</v>
      </c>
      <c r="C80" t="s">
        <v>22</v>
      </c>
    </row>
    <row r="81" spans="1:3" x14ac:dyDescent="0.3">
      <c r="A81">
        <v>2025</v>
      </c>
      <c r="B81" t="s">
        <v>271</v>
      </c>
      <c r="C81" t="s">
        <v>272</v>
      </c>
    </row>
    <row r="82" spans="1:3" x14ac:dyDescent="0.3">
      <c r="A82">
        <v>2025</v>
      </c>
      <c r="B82" t="s">
        <v>273</v>
      </c>
      <c r="C82" t="s">
        <v>274</v>
      </c>
    </row>
    <row r="83" spans="1:3" x14ac:dyDescent="0.3">
      <c r="A83">
        <v>2025</v>
      </c>
      <c r="B83" t="s">
        <v>151</v>
      </c>
      <c r="C83" t="s">
        <v>152</v>
      </c>
    </row>
  </sheetData>
  <sortState xmlns:xlrd2="http://schemas.microsoft.com/office/spreadsheetml/2017/richdata2" ref="A2:C83">
    <sortCondition ref="A1:A8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 Source of Papers</vt:lpstr>
      <vt:lpstr>Publisher Source </vt:lpstr>
      <vt:lpstr>Qartile Distribution</vt:lpstr>
      <vt:lpstr>Journal Namd and Paper Count</vt:lpstr>
      <vt:lpstr>Publication Year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</dc:creator>
  <cp:lastModifiedBy>rao</cp:lastModifiedBy>
  <dcterms:created xsi:type="dcterms:W3CDTF">2026-01-12T09:21:08Z</dcterms:created>
  <dcterms:modified xsi:type="dcterms:W3CDTF">2026-03-12T05:18:10Z</dcterms:modified>
</cp:coreProperties>
</file>